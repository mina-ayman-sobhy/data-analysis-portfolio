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Monthly Summary" sheetId="2" state="visible" r:id="rId4"/>
    <sheet name="Product Analysis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<sst xmlns="http://schemas.openxmlformats.org/spreadsheetml/2006/main" count="202" uniqueCount="91">
  <si>
    <t xml:space="preserve">🛒 E-COMMERCE SALES DATA — 2026</t>
  </si>
  <si>
    <t xml:space="preserve">Order ID</t>
  </si>
  <si>
    <t xml:space="preserve">Month</t>
  </si>
  <si>
    <t xml:space="preserve">Product</t>
  </si>
  <si>
    <t xml:space="preserve">Category</t>
  </si>
  <si>
    <t xml:space="preserve">Units Sold</t>
  </si>
  <si>
    <t xml:space="preserve">Unit Price (EGP)</t>
  </si>
  <si>
    <t xml:space="preserve">Revenue (EGP)</t>
  </si>
  <si>
    <t xml:space="preserve">Profit (EGP)</t>
  </si>
  <si>
    <t xml:space="preserve">ORD001</t>
  </si>
  <si>
    <t xml:space="preserve">January</t>
  </si>
  <si>
    <t xml:space="preserve">Laptop Stand</t>
  </si>
  <si>
    <t xml:space="preserve">Electronics</t>
  </si>
  <si>
    <t xml:space="preserve">ORD002</t>
  </si>
  <si>
    <t xml:space="preserve">Wireless Mouse</t>
  </si>
  <si>
    <t xml:space="preserve">ORD003</t>
  </si>
  <si>
    <t xml:space="preserve">Excel Course</t>
  </si>
  <si>
    <t xml:space="preserve">Digital Products</t>
  </si>
  <si>
    <t xml:space="preserve">ORD004</t>
  </si>
  <si>
    <t xml:space="preserve">Desk Organizer</t>
  </si>
  <si>
    <t xml:space="preserve">Office Supplies</t>
  </si>
  <si>
    <t xml:space="preserve">ORD005</t>
  </si>
  <si>
    <t xml:space="preserve">February</t>
  </si>
  <si>
    <t xml:space="preserve">ORD006</t>
  </si>
  <si>
    <t xml:space="preserve">Keyboard</t>
  </si>
  <si>
    <t xml:space="preserve">ORD007</t>
  </si>
  <si>
    <t xml:space="preserve">Python Course</t>
  </si>
  <si>
    <t xml:space="preserve">ORD008</t>
  </si>
  <si>
    <t xml:space="preserve">Notebook Set</t>
  </si>
  <si>
    <t xml:space="preserve">ORD009</t>
  </si>
  <si>
    <t xml:space="preserve">March</t>
  </si>
  <si>
    <t xml:space="preserve">ORD010</t>
  </si>
  <si>
    <t xml:space="preserve">Data Course</t>
  </si>
  <si>
    <t xml:space="preserve">ORD011</t>
  </si>
  <si>
    <t xml:space="preserve">ORD012</t>
  </si>
  <si>
    <t xml:space="preserve">ORD013</t>
  </si>
  <si>
    <t xml:space="preserve">April</t>
  </si>
  <si>
    <t xml:space="preserve">ORD014</t>
  </si>
  <si>
    <t xml:space="preserve">ORD015</t>
  </si>
  <si>
    <t xml:space="preserve">ORD016</t>
  </si>
  <si>
    <t xml:space="preserve">ORD017</t>
  </si>
  <si>
    <t xml:space="preserve">May</t>
  </si>
  <si>
    <t xml:space="preserve">ORD018</t>
  </si>
  <si>
    <t xml:space="preserve">ORD019</t>
  </si>
  <si>
    <t xml:space="preserve">ORD020</t>
  </si>
  <si>
    <t xml:space="preserve">ORD021</t>
  </si>
  <si>
    <t xml:space="preserve">June</t>
  </si>
  <si>
    <t xml:space="preserve">ORD022</t>
  </si>
  <si>
    <t xml:space="preserve">ORD023</t>
  </si>
  <si>
    <t xml:space="preserve">ORD024</t>
  </si>
  <si>
    <t xml:space="preserve">GRAND TOTAL</t>
  </si>
  <si>
    <t xml:space="preserve">📅 MONTHLY SALES SUMMARY</t>
  </si>
  <si>
    <t xml:space="preserve">Total Orders</t>
  </si>
  <si>
    <t xml:space="preserve">Profit Margin</t>
  </si>
  <si>
    <t xml:space="preserve">Growth vs Last Month</t>
  </si>
  <si>
    <t xml:space="preserve">—</t>
  </si>
  <si>
    <t xml:space="preserve">TOTAL</t>
  </si>
  <si>
    <t xml:space="preserve">📈 6-Month</t>
  </si>
  <si>
    <t xml:space="preserve">📦 PRODUCT PERFORMANCE ANALYSIS</t>
  </si>
  <si>
    <t xml:space="preserve">Total Units</t>
  </si>
  <si>
    <t xml:space="preserve">Total Revenue</t>
  </si>
  <si>
    <t xml:space="preserve">Total Profit</t>
  </si>
  <si>
    <t xml:space="preserve">Rank</t>
  </si>
  <si>
    <t xml:space="preserve">Revenue</t>
  </si>
  <si>
    <t xml:space="preserve">🥇</t>
  </si>
  <si>
    <t xml:space="preserve">🥈</t>
  </si>
  <si>
    <t xml:space="preserve">🥉</t>
  </si>
  <si>
    <t xml:space="preserve">#4</t>
  </si>
  <si>
    <t xml:space="preserve">#5</t>
  </si>
  <si>
    <t xml:space="preserve">#6</t>
  </si>
  <si>
    <t xml:space="preserve">#7</t>
  </si>
  <si>
    <t xml:space="preserve">#8</t>
  </si>
  <si>
    <t xml:space="preserve">🛒 E-COMMERCE SALES DASHBOARD — 2026</t>
  </si>
  <si>
    <t xml:space="preserve">6-Month Performance Overview  |  January – June 2026  |  8 Products  |  3 Categories</t>
  </si>
  <si>
    <t xml:space="preserve">💰 Total Revenue</t>
  </si>
  <si>
    <t xml:space="preserve">📈 Total Profit</t>
  </si>
  <si>
    <t xml:space="preserve">📦 Total Units Sold</t>
  </si>
  <si>
    <t xml:space="preserve">🎯 Profit Margin</t>
  </si>
  <si>
    <t xml:space="preserve">🏆 TOP PRODUCTS BY REVENUE</t>
  </si>
  <si>
    <t xml:space="preserve">📅 MONTHLY REVENUE TREND</t>
  </si>
  <si>
    <t xml:space="preserve">Profit</t>
  </si>
  <si>
    <t xml:space="preserve">Growth</t>
  </si>
  <si>
    <t xml:space="preserve">Jan</t>
  </si>
  <si>
    <t xml:space="preserve">Feb</t>
  </si>
  <si>
    <t xml:space="preserve">↑ 25%</t>
  </si>
  <si>
    <t xml:space="preserve">Mar</t>
  </si>
  <si>
    <t xml:space="preserve">↑ 14%</t>
  </si>
  <si>
    <t xml:space="preserve">Apr</t>
  </si>
  <si>
    <t xml:space="preserve">↓ 7%</t>
  </si>
  <si>
    <t xml:space="preserve">Jun</t>
  </si>
  <si>
    <t xml:space="preserve">↑ 21%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</si>
</sst>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b val="true"/>
      <sz val="10"/>
      <color rgb="FF70AD47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FFFFFF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b val="true"/>
      <sz val="16"/>
      <color rgb="FF70AD47"/>
      <name val="Arial"/>
      <family val="0"/>
      <charset val="1"/>
    </font>
    <font>
      <b val="true"/>
      <sz val="16"/>
      <color rgb="FF7030A0"/>
      <name val="Arial"/>
      <family val="0"/>
      <charset val="1"/>
    </font>
    <font>
      <b val="true"/>
      <sz val="16"/>
      <color rgb="FFFF8C0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F2F2F2"/>
        <bgColor rgb="FFF9F9F9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F9F9F9"/>
      </patternFill>
    </fill>
    <fill>
      <patternFill patternType="solid">
        <fgColor rgb="FFDEEAF1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70AD47"/>
        <bgColor rgb="FF9BBB59"/>
      </patternFill>
    </fill>
    <fill>
      <patternFill patternType="solid">
        <fgColor rgb="FF7030A0"/>
        <bgColor rgb="FF333399"/>
      </patternFill>
    </fill>
    <fill>
      <patternFill patternType="solid">
        <fgColor rgb="FFFF8C00"/>
        <bgColor rgb="FFFF66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7030A0"/>
      <rgbColor rgb="FFFFF2CC"/>
      <rgbColor rgb="FFDEEAF1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9F9F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8C00"/>
      <rgbColor rgb="FFFF6600"/>
      <rgbColor rgb="FF595959"/>
      <rgbColor rgb="FF70AD47"/>
      <rgbColor rgb="FF1A3A5C"/>
      <rgbColor rgb="FF4F81BD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Summary'!D3</c:f>
              <c:strCache>
                <c:ptCount val="1"/>
                <c:pt idx="0">
                  <c:v>Revenue (EGP)</c:v>
                </c:pt>
              </c:strCache>
            </c:strRef>
          </c:tx>
          <c:spPr>
            <a:solidFill>
              <a:srgbClr val="2e75b6"/>
            </a:solidFill>
            <a:ln w="475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Summary'!$A$4:$A$9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'Monthly Summary'!$D$4:$D$9</c:f>
              <c:numCache>
                <c:formatCode>#,##0</c:formatCode>
                <c:ptCount val="6"/>
                <c:pt idx="0">
                  <c:v>71750</c:v>
                </c:pt>
                <c:pt idx="1">
                  <c:v>89650</c:v>
                </c:pt>
                <c:pt idx="2">
                  <c:v>102550</c:v>
                </c:pt>
                <c:pt idx="3">
                  <c:v>95150</c:v>
                </c:pt>
                <c:pt idx="4">
                  <c:v>108750</c:v>
                </c:pt>
                <c:pt idx="5">
                  <c:v>131850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Summary'!E3</c:f>
              <c:strCache>
                <c:ptCount val="1"/>
                <c:pt idx="0">
                  <c:v>Profit (EGP)</c:v>
                </c:pt>
              </c:strCache>
            </c:strRef>
          </c:tx>
          <c:spPr>
            <a:solidFill>
              <a:srgbClr val="70ad47"/>
            </a:solidFill>
            <a:ln w="4752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Summary'!$A$4:$A$9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'Monthly Summary'!$E$4:$E$9</c:f>
              <c:numCache>
                <c:formatCode>#,##0</c:formatCode>
                <c:ptCount val="6"/>
                <c:pt idx="0">
                  <c:v>21525</c:v>
                </c:pt>
                <c:pt idx="1">
                  <c:v>26895</c:v>
                </c:pt>
                <c:pt idx="2">
                  <c:v>30765</c:v>
                </c:pt>
                <c:pt idx="3">
                  <c:v>28545</c:v>
                </c:pt>
                <c:pt idx="4">
                  <c:v>32625</c:v>
                </c:pt>
                <c:pt idx="5">
                  <c:v>39555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6815286"/>
        <c:axId val="92484372"/>
      </c:lineChart>
      <c:catAx>
        <c:axId val="168152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84372"/>
        <c:crosses val="autoZero"/>
        <c:auto val="1"/>
        <c:lblAlgn val="ctr"/>
        <c:lblOffset val="100"/>
        <c:noMultiLvlLbl val="0"/>
      </c:catAx>
      <c:valAx>
        <c:axId val="924843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(EGP)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8152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'Product Analysis'!I3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'Product Analysis'!$H$4:$H$6</c:f>
              <c:strCache>
                <c:ptCount val="3"/>
                <c:pt idx="0">
                  <c:v>Electronics</c:v>
                </c:pt>
                <c:pt idx="1">
                  <c:v>Digital Products</c:v>
                </c:pt>
                <c:pt idx="2">
                  <c:v>Office Supplies</c:v>
                </c:pt>
              </c:strCache>
            </c:strRef>
          </c:cat>
          <c:val>
            <c:numRef>
              <c:f>'Product Analysis'!$I$4:$I$6</c:f>
              <c:numCache>
                <c:formatCode>General</c:formatCode>
                <c:ptCount val="3"/>
                <c:pt idx="0">
                  <c:v>228750</c:v>
                </c:pt>
                <c:pt idx="1">
                  <c:v>190750</c:v>
                </c:pt>
                <c:pt idx="2">
                  <c:v>49600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8</xdr:col>
      <xdr:colOff>189000</xdr:colOff>
      <xdr:row>37</xdr:row>
      <xdr:rowOff>86760</xdr:rowOff>
    </xdr:to>
    <xdr:graphicFrame>
      <xdr:nvGraphicFramePr>
        <xdr:cNvPr id="0" name="Chart 1"/>
        <xdr:cNvGraphicFramePr/>
      </xdr:nvGraphicFramePr>
      <xdr:xfrm>
        <a:off x="0" y="25336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6</xdr:row>
      <xdr:rowOff>0</xdr:rowOff>
    </xdr:from>
    <xdr:to>
      <xdr:col>15</xdr:col>
      <xdr:colOff>147600</xdr:colOff>
      <xdr:row>28</xdr:row>
      <xdr:rowOff>128520</xdr:rowOff>
    </xdr:to>
    <xdr:graphicFrame>
      <xdr:nvGraphicFramePr>
        <xdr:cNvPr id="1" name="Chart 1"/>
        <xdr:cNvGraphicFramePr/>
      </xdr:nvGraphicFramePr>
      <xdr:xfrm>
        <a:off x="6743880" y="139068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24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3" t="s">
        <v>10</v>
      </c>
      <c r="C4" s="4" t="s">
        <v>11</v>
      </c>
      <c r="D4" s="3" t="s">
        <v>12</v>
      </c>
      <c r="E4" s="3" t="n">
        <v>45</v>
      </c>
      <c r="F4" s="3" t="n">
        <v>350</v>
      </c>
      <c r="G4" s="5" t="n">
        <f aca="false">E4*F4</f>
        <v>15750</v>
      </c>
      <c r="H4" s="6" t="n">
        <f aca="false">G4*0.3</f>
        <v>4725</v>
      </c>
    </row>
    <row r="5" customFormat="false" ht="15" hidden="false" customHeight="false" outlineLevel="0" collapsed="false">
      <c r="A5" s="7" t="s">
        <v>13</v>
      </c>
      <c r="B5" s="7" t="s">
        <v>10</v>
      </c>
      <c r="C5" s="8" t="s">
        <v>14</v>
      </c>
      <c r="D5" s="7" t="s">
        <v>12</v>
      </c>
      <c r="E5" s="7" t="n">
        <v>80</v>
      </c>
      <c r="F5" s="7" t="n">
        <v>180</v>
      </c>
      <c r="G5" s="5" t="n">
        <f aca="false">E5*F5</f>
        <v>14400</v>
      </c>
      <c r="H5" s="6" t="n">
        <f aca="false">G5*0.3</f>
        <v>4320</v>
      </c>
    </row>
    <row r="6" customFormat="false" ht="15" hidden="false" customHeight="false" outlineLevel="0" collapsed="false">
      <c r="A6" s="3" t="s">
        <v>15</v>
      </c>
      <c r="B6" s="3" t="s">
        <v>10</v>
      </c>
      <c r="C6" s="4" t="s">
        <v>16</v>
      </c>
      <c r="D6" s="3" t="s">
        <v>17</v>
      </c>
      <c r="E6" s="3" t="n">
        <v>30</v>
      </c>
      <c r="F6" s="3" t="n">
        <v>500</v>
      </c>
      <c r="G6" s="5" t="n">
        <f aca="false">E6*F6</f>
        <v>15000</v>
      </c>
      <c r="H6" s="6" t="n">
        <f aca="false">G6*0.3</f>
        <v>4500</v>
      </c>
    </row>
    <row r="7" customFormat="false" ht="15" hidden="false" customHeight="false" outlineLevel="0" collapsed="false">
      <c r="A7" s="7" t="s">
        <v>18</v>
      </c>
      <c r="B7" s="7" t="s">
        <v>10</v>
      </c>
      <c r="C7" s="8" t="s">
        <v>19</v>
      </c>
      <c r="D7" s="7" t="s">
        <v>20</v>
      </c>
      <c r="E7" s="7" t="n">
        <v>60</v>
      </c>
      <c r="F7" s="7" t="n">
        <v>120</v>
      </c>
      <c r="G7" s="5" t="n">
        <f aca="false">E7*F7</f>
        <v>7200</v>
      </c>
      <c r="H7" s="6" t="n">
        <f aca="false">G7*0.3</f>
        <v>2160</v>
      </c>
    </row>
    <row r="8" customFormat="false" ht="15" hidden="false" customHeight="false" outlineLevel="0" collapsed="false">
      <c r="A8" s="3" t="s">
        <v>21</v>
      </c>
      <c r="B8" s="3" t="s">
        <v>22</v>
      </c>
      <c r="C8" s="4" t="s">
        <v>11</v>
      </c>
      <c r="D8" s="3" t="s">
        <v>12</v>
      </c>
      <c r="E8" s="3" t="n">
        <v>52</v>
      </c>
      <c r="F8" s="3" t="n">
        <v>350</v>
      </c>
      <c r="G8" s="5" t="n">
        <f aca="false">E8*F8</f>
        <v>18200</v>
      </c>
      <c r="H8" s="6" t="n">
        <f aca="false">G8*0.3</f>
        <v>5460</v>
      </c>
    </row>
    <row r="9" customFormat="false" ht="15" hidden="false" customHeight="false" outlineLevel="0" collapsed="false">
      <c r="A9" s="7" t="s">
        <v>23</v>
      </c>
      <c r="B9" s="7" t="s">
        <v>22</v>
      </c>
      <c r="C9" s="8" t="s">
        <v>24</v>
      </c>
      <c r="D9" s="7" t="s">
        <v>12</v>
      </c>
      <c r="E9" s="7" t="n">
        <v>35</v>
      </c>
      <c r="F9" s="7" t="n">
        <v>450</v>
      </c>
      <c r="G9" s="5" t="n">
        <f aca="false">E9*F9</f>
        <v>15750</v>
      </c>
      <c r="H9" s="6" t="n">
        <f aca="false">G9*0.3</f>
        <v>4725</v>
      </c>
    </row>
    <row r="10" customFormat="false" ht="15" hidden="false" customHeight="false" outlineLevel="0" collapsed="false">
      <c r="A10" s="3" t="s">
        <v>25</v>
      </c>
      <c r="B10" s="3" t="s">
        <v>22</v>
      </c>
      <c r="C10" s="4" t="s">
        <v>26</v>
      </c>
      <c r="D10" s="3" t="s">
        <v>17</v>
      </c>
      <c r="E10" s="3" t="n">
        <v>45</v>
      </c>
      <c r="F10" s="3" t="n">
        <v>600</v>
      </c>
      <c r="G10" s="5" t="n">
        <f aca="false">E10*F10</f>
        <v>27000</v>
      </c>
      <c r="H10" s="6" t="n">
        <f aca="false">G10*0.3</f>
        <v>8100</v>
      </c>
    </row>
    <row r="11" customFormat="false" ht="15" hidden="false" customHeight="false" outlineLevel="0" collapsed="false">
      <c r="A11" s="7" t="s">
        <v>27</v>
      </c>
      <c r="B11" s="7" t="s">
        <v>22</v>
      </c>
      <c r="C11" s="8" t="s">
        <v>28</v>
      </c>
      <c r="D11" s="7" t="s">
        <v>20</v>
      </c>
      <c r="E11" s="7" t="n">
        <v>90</v>
      </c>
      <c r="F11" s="7" t="n">
        <v>80</v>
      </c>
      <c r="G11" s="5" t="n">
        <f aca="false">E11*F11</f>
        <v>7200</v>
      </c>
      <c r="H11" s="6" t="n">
        <f aca="false">G11*0.3</f>
        <v>2160</v>
      </c>
    </row>
    <row r="12" customFormat="false" ht="15" hidden="false" customHeight="false" outlineLevel="0" collapsed="false">
      <c r="A12" s="3" t="s">
        <v>29</v>
      </c>
      <c r="B12" s="3" t="s">
        <v>30</v>
      </c>
      <c r="C12" s="4" t="s">
        <v>14</v>
      </c>
      <c r="D12" s="3" t="s">
        <v>12</v>
      </c>
      <c r="E12" s="3" t="n">
        <v>95</v>
      </c>
      <c r="F12" s="3" t="n">
        <v>180</v>
      </c>
      <c r="G12" s="5" t="n">
        <f aca="false">E12*F12</f>
        <v>17100</v>
      </c>
      <c r="H12" s="6" t="n">
        <f aca="false">G12*0.3</f>
        <v>5130</v>
      </c>
    </row>
    <row r="13" customFormat="false" ht="15" hidden="false" customHeight="false" outlineLevel="0" collapsed="false">
      <c r="A13" s="7" t="s">
        <v>31</v>
      </c>
      <c r="B13" s="7" t="s">
        <v>30</v>
      </c>
      <c r="C13" s="8" t="s">
        <v>32</v>
      </c>
      <c r="D13" s="7" t="s">
        <v>17</v>
      </c>
      <c r="E13" s="7" t="n">
        <v>55</v>
      </c>
      <c r="F13" s="7" t="n">
        <v>750</v>
      </c>
      <c r="G13" s="5" t="n">
        <f aca="false">E13*F13</f>
        <v>41250</v>
      </c>
      <c r="H13" s="6" t="n">
        <f aca="false">G13*0.3</f>
        <v>12375</v>
      </c>
    </row>
    <row r="14" customFormat="false" ht="15" hidden="false" customHeight="false" outlineLevel="0" collapsed="false">
      <c r="A14" s="3" t="s">
        <v>33</v>
      </c>
      <c r="B14" s="3" t="s">
        <v>30</v>
      </c>
      <c r="C14" s="4" t="s">
        <v>11</v>
      </c>
      <c r="D14" s="3" t="s">
        <v>12</v>
      </c>
      <c r="E14" s="3" t="n">
        <v>48</v>
      </c>
      <c r="F14" s="3" t="n">
        <v>350</v>
      </c>
      <c r="G14" s="5" t="n">
        <f aca="false">E14*F14</f>
        <v>16800</v>
      </c>
      <c r="H14" s="6" t="n">
        <f aca="false">G14*0.3</f>
        <v>5040</v>
      </c>
    </row>
    <row r="15" customFormat="false" ht="15" hidden="false" customHeight="false" outlineLevel="0" collapsed="false">
      <c r="A15" s="7" t="s">
        <v>34</v>
      </c>
      <c r="B15" s="7" t="s">
        <v>30</v>
      </c>
      <c r="C15" s="8" t="s">
        <v>19</v>
      </c>
      <c r="D15" s="7" t="s">
        <v>20</v>
      </c>
      <c r="E15" s="7" t="n">
        <v>75</v>
      </c>
      <c r="F15" s="7" t="n">
        <v>120</v>
      </c>
      <c r="G15" s="5" t="n">
        <f aca="false">E15*F15</f>
        <v>9000</v>
      </c>
      <c r="H15" s="6" t="n">
        <f aca="false">G15*0.3</f>
        <v>2700</v>
      </c>
    </row>
    <row r="16" customFormat="false" ht="15" hidden="false" customHeight="false" outlineLevel="0" collapsed="false">
      <c r="A16" s="3" t="s">
        <v>35</v>
      </c>
      <c r="B16" s="3" t="s">
        <v>36</v>
      </c>
      <c r="C16" s="4" t="s">
        <v>24</v>
      </c>
      <c r="D16" s="3" t="s">
        <v>12</v>
      </c>
      <c r="E16" s="3" t="n">
        <v>42</v>
      </c>
      <c r="F16" s="3" t="n">
        <v>450</v>
      </c>
      <c r="G16" s="5" t="n">
        <f aca="false">E16*F16</f>
        <v>18900</v>
      </c>
      <c r="H16" s="6" t="n">
        <f aca="false">G16*0.3</f>
        <v>5670</v>
      </c>
    </row>
    <row r="17" customFormat="false" ht="15" hidden="false" customHeight="false" outlineLevel="0" collapsed="false">
      <c r="A17" s="7" t="s">
        <v>37</v>
      </c>
      <c r="B17" s="7" t="s">
        <v>36</v>
      </c>
      <c r="C17" s="8" t="s">
        <v>16</v>
      </c>
      <c r="D17" s="7" t="s">
        <v>17</v>
      </c>
      <c r="E17" s="7" t="n">
        <v>38</v>
      </c>
      <c r="F17" s="7" t="n">
        <v>500</v>
      </c>
      <c r="G17" s="5" t="n">
        <f aca="false">E17*F17</f>
        <v>19000</v>
      </c>
      <c r="H17" s="6" t="n">
        <f aca="false">G17*0.3</f>
        <v>5700</v>
      </c>
    </row>
    <row r="18" customFormat="false" ht="15" hidden="false" customHeight="false" outlineLevel="0" collapsed="false">
      <c r="A18" s="3" t="s">
        <v>38</v>
      </c>
      <c r="B18" s="3" t="s">
        <v>36</v>
      </c>
      <c r="C18" s="4" t="s">
        <v>14</v>
      </c>
      <c r="D18" s="3" t="s">
        <v>12</v>
      </c>
      <c r="E18" s="3" t="n">
        <v>110</v>
      </c>
      <c r="F18" s="3" t="n">
        <v>180</v>
      </c>
      <c r="G18" s="5" t="n">
        <f aca="false">E18*F18</f>
        <v>19800</v>
      </c>
      <c r="H18" s="6" t="n">
        <f aca="false">G18*0.3</f>
        <v>5940</v>
      </c>
    </row>
    <row r="19" customFormat="false" ht="15" hidden="false" customHeight="false" outlineLevel="0" collapsed="false">
      <c r="A19" s="7" t="s">
        <v>39</v>
      </c>
      <c r="B19" s="7" t="s">
        <v>36</v>
      </c>
      <c r="C19" s="8" t="s">
        <v>28</v>
      </c>
      <c r="D19" s="7" t="s">
        <v>20</v>
      </c>
      <c r="E19" s="7" t="n">
        <v>85</v>
      </c>
      <c r="F19" s="7" t="n">
        <v>80</v>
      </c>
      <c r="G19" s="5" t="n">
        <f aca="false">E19*F19</f>
        <v>6800</v>
      </c>
      <c r="H19" s="6" t="n">
        <f aca="false">G19*0.3</f>
        <v>2040</v>
      </c>
    </row>
    <row r="20" customFormat="false" ht="15" hidden="false" customHeight="false" outlineLevel="0" collapsed="false">
      <c r="A20" s="3" t="s">
        <v>40</v>
      </c>
      <c r="B20" s="3" t="s">
        <v>41</v>
      </c>
      <c r="C20" s="4" t="s">
        <v>11</v>
      </c>
      <c r="D20" s="3" t="s">
        <v>12</v>
      </c>
      <c r="E20" s="3" t="n">
        <v>65</v>
      </c>
      <c r="F20" s="3" t="n">
        <v>350</v>
      </c>
      <c r="G20" s="5" t="n">
        <f aca="false">E20*F20</f>
        <v>22750</v>
      </c>
      <c r="H20" s="6" t="n">
        <f aca="false">G20*0.3</f>
        <v>6825</v>
      </c>
    </row>
    <row r="21" customFormat="false" ht="15" hidden="false" customHeight="false" outlineLevel="0" collapsed="false">
      <c r="A21" s="7" t="s">
        <v>42</v>
      </c>
      <c r="B21" s="7" t="s">
        <v>41</v>
      </c>
      <c r="C21" s="8" t="s">
        <v>26</v>
      </c>
      <c r="D21" s="7" t="s">
        <v>17</v>
      </c>
      <c r="E21" s="7" t="n">
        <v>60</v>
      </c>
      <c r="F21" s="7" t="n">
        <v>600</v>
      </c>
      <c r="G21" s="5" t="n">
        <f aca="false">E21*F21</f>
        <v>36000</v>
      </c>
      <c r="H21" s="6" t="n">
        <f aca="false">G21*0.3</f>
        <v>10800</v>
      </c>
    </row>
    <row r="22" customFormat="false" ht="15" hidden="false" customHeight="false" outlineLevel="0" collapsed="false">
      <c r="A22" s="3" t="s">
        <v>43</v>
      </c>
      <c r="B22" s="3" t="s">
        <v>41</v>
      </c>
      <c r="C22" s="4" t="s">
        <v>24</v>
      </c>
      <c r="D22" s="3" t="s">
        <v>12</v>
      </c>
      <c r="E22" s="3" t="n">
        <v>50</v>
      </c>
      <c r="F22" s="3" t="n">
        <v>450</v>
      </c>
      <c r="G22" s="5" t="n">
        <f aca="false">E22*F22</f>
        <v>22500</v>
      </c>
      <c r="H22" s="6" t="n">
        <f aca="false">G22*0.3</f>
        <v>6750</v>
      </c>
    </row>
    <row r="23" customFormat="false" ht="15" hidden="false" customHeight="false" outlineLevel="0" collapsed="false">
      <c r="A23" s="7" t="s">
        <v>44</v>
      </c>
      <c r="B23" s="7" t="s">
        <v>41</v>
      </c>
      <c r="C23" s="8" t="s">
        <v>19</v>
      </c>
      <c r="D23" s="7" t="s">
        <v>20</v>
      </c>
      <c r="E23" s="7" t="n">
        <v>95</v>
      </c>
      <c r="F23" s="7" t="n">
        <v>120</v>
      </c>
      <c r="G23" s="5" t="n">
        <f aca="false">E23*F23</f>
        <v>11400</v>
      </c>
      <c r="H23" s="6" t="n">
        <f aca="false">G23*0.3</f>
        <v>3420</v>
      </c>
    </row>
    <row r="24" customFormat="false" ht="15" hidden="false" customHeight="false" outlineLevel="0" collapsed="false">
      <c r="A24" s="3" t="s">
        <v>45</v>
      </c>
      <c r="B24" s="3" t="s">
        <v>46</v>
      </c>
      <c r="C24" s="4" t="s">
        <v>32</v>
      </c>
      <c r="D24" s="3" t="s">
        <v>17</v>
      </c>
      <c r="E24" s="3" t="n">
        <v>70</v>
      </c>
      <c r="F24" s="3" t="n">
        <v>750</v>
      </c>
      <c r="G24" s="5" t="n">
        <f aca="false">E24*F24</f>
        <v>52500</v>
      </c>
      <c r="H24" s="6" t="n">
        <f aca="false">G24*0.3</f>
        <v>15750</v>
      </c>
    </row>
    <row r="25" customFormat="false" ht="15" hidden="false" customHeight="false" outlineLevel="0" collapsed="false">
      <c r="A25" s="7" t="s">
        <v>47</v>
      </c>
      <c r="B25" s="7" t="s">
        <v>46</v>
      </c>
      <c r="C25" s="8" t="s">
        <v>14</v>
      </c>
      <c r="D25" s="7" t="s">
        <v>12</v>
      </c>
      <c r="E25" s="7" t="n">
        <v>120</v>
      </c>
      <c r="F25" s="7" t="n">
        <v>180</v>
      </c>
      <c r="G25" s="5" t="n">
        <f aca="false">E25*F25</f>
        <v>21600</v>
      </c>
      <c r="H25" s="6" t="n">
        <f aca="false">G25*0.3</f>
        <v>6480</v>
      </c>
    </row>
    <row r="26" customFormat="false" ht="15" hidden="false" customHeight="false" outlineLevel="0" collapsed="false">
      <c r="A26" s="3" t="s">
        <v>48</v>
      </c>
      <c r="B26" s="3" t="s">
        <v>46</v>
      </c>
      <c r="C26" s="4" t="s">
        <v>11</v>
      </c>
      <c r="D26" s="3" t="s">
        <v>12</v>
      </c>
      <c r="E26" s="3" t="n">
        <v>72</v>
      </c>
      <c r="F26" s="3" t="n">
        <v>350</v>
      </c>
      <c r="G26" s="5" t="n">
        <f aca="false">E26*F26</f>
        <v>25200</v>
      </c>
      <c r="H26" s="6" t="n">
        <f aca="false">G26*0.3</f>
        <v>7560</v>
      </c>
    </row>
    <row r="27" customFormat="false" ht="15" hidden="false" customHeight="false" outlineLevel="0" collapsed="false">
      <c r="A27" s="7" t="s">
        <v>49</v>
      </c>
      <c r="B27" s="7" t="s">
        <v>46</v>
      </c>
      <c r="C27" s="8" t="s">
        <v>28</v>
      </c>
      <c r="D27" s="7" t="s">
        <v>20</v>
      </c>
      <c r="E27" s="7" t="n">
        <v>100</v>
      </c>
      <c r="F27" s="7" t="n">
        <v>80</v>
      </c>
      <c r="G27" s="5" t="n">
        <f aca="false">E27*F27</f>
        <v>8000</v>
      </c>
      <c r="H27" s="6" t="n">
        <f aca="false">G27*0.3</f>
        <v>2400</v>
      </c>
    </row>
    <row r="28" customFormat="false" ht="15" hidden="false" customHeight="true" outlineLevel="0" collapsed="false">
      <c r="A28" s="9" t="s">
        <v>50</v>
      </c>
      <c r="B28" s="9"/>
      <c r="C28" s="9"/>
      <c r="D28" s="9"/>
      <c r="E28" s="10" t="n">
        <f aca="false">SUM(E4:E27)</f>
        <v>1617</v>
      </c>
      <c r="F28" s="11"/>
      <c r="G28" s="10" t="n">
        <f aca="false">SUM(G4:G27)</f>
        <v>469100</v>
      </c>
      <c r="H28" s="10" t="n">
        <f aca="false">SUM(H4:H27)</f>
        <v>140730</v>
      </c>
    </row>
  </sheetData>
  <mergeCells count="2">
    <mergeCell ref="A1:H1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20"/>
  </cols>
  <sheetData>
    <row r="1" customFormat="false" ht="34.5" hidden="false" customHeight="true" outlineLevel="0" collapsed="false">
      <c r="A1" s="1" t="s">
        <v>51</v>
      </c>
      <c r="B1" s="1"/>
      <c r="C1" s="1"/>
      <c r="D1" s="1"/>
      <c r="E1" s="1"/>
      <c r="F1" s="1"/>
      <c r="G1" s="1"/>
    </row>
    <row r="3" customFormat="false" ht="30" hidden="false" customHeight="true" outlineLevel="0" collapsed="false">
      <c r="A3" s="2" t="s">
        <v>2</v>
      </c>
      <c r="B3" s="2" t="s">
        <v>52</v>
      </c>
      <c r="C3" s="2" t="s">
        <v>5</v>
      </c>
      <c r="D3" s="2" t="s">
        <v>7</v>
      </c>
      <c r="E3" s="2" t="s">
        <v>8</v>
      </c>
      <c r="F3" s="2" t="s">
        <v>53</v>
      </c>
      <c r="G3" s="2" t="s">
        <v>54</v>
      </c>
    </row>
    <row r="4" customFormat="false" ht="15" hidden="false" customHeight="false" outlineLevel="0" collapsed="false">
      <c r="A4" s="12" t="s">
        <v>10</v>
      </c>
      <c r="B4" s="13" t="n">
        <v>4</v>
      </c>
      <c r="C4" s="13" t="n">
        <v>215</v>
      </c>
      <c r="D4" s="14" t="n">
        <v>71750</v>
      </c>
      <c r="E4" s="14" t="n">
        <v>21525</v>
      </c>
      <c r="F4" s="15" t="n">
        <f aca="false">E4/D4</f>
        <v>0.3</v>
      </c>
      <c r="G4" s="16" t="s">
        <v>55</v>
      </c>
    </row>
    <row r="5" customFormat="false" ht="15" hidden="false" customHeight="false" outlineLevel="0" collapsed="false">
      <c r="A5" s="17" t="s">
        <v>22</v>
      </c>
      <c r="B5" s="18" t="n">
        <v>4</v>
      </c>
      <c r="C5" s="18" t="n">
        <v>222</v>
      </c>
      <c r="D5" s="19" t="n">
        <v>89650</v>
      </c>
      <c r="E5" s="19" t="n">
        <v>26895</v>
      </c>
      <c r="F5" s="15" t="n">
        <f aca="false">E5/D5</f>
        <v>0.3</v>
      </c>
      <c r="G5" s="20" t="n">
        <f aca="false">(D5-D4)/D4</f>
        <v>0.249477351916376</v>
      </c>
    </row>
    <row r="6" customFormat="false" ht="15" hidden="false" customHeight="false" outlineLevel="0" collapsed="false">
      <c r="A6" s="12" t="s">
        <v>30</v>
      </c>
      <c r="B6" s="13" t="n">
        <v>4</v>
      </c>
      <c r="C6" s="13" t="n">
        <v>273</v>
      </c>
      <c r="D6" s="14" t="n">
        <v>102550</v>
      </c>
      <c r="E6" s="14" t="n">
        <v>30765</v>
      </c>
      <c r="F6" s="15" t="n">
        <f aca="false">E6/D6</f>
        <v>0.3</v>
      </c>
      <c r="G6" s="20" t="n">
        <f aca="false">(D6-D5)/D5</f>
        <v>0.143892916899052</v>
      </c>
    </row>
    <row r="7" customFormat="false" ht="15" hidden="false" customHeight="false" outlineLevel="0" collapsed="false">
      <c r="A7" s="17" t="s">
        <v>36</v>
      </c>
      <c r="B7" s="18" t="n">
        <v>4</v>
      </c>
      <c r="C7" s="18" t="n">
        <v>275</v>
      </c>
      <c r="D7" s="19" t="n">
        <v>95150</v>
      </c>
      <c r="E7" s="19" t="n">
        <v>28545</v>
      </c>
      <c r="F7" s="15" t="n">
        <f aca="false">E7/D7</f>
        <v>0.3</v>
      </c>
      <c r="G7" s="20" t="n">
        <f aca="false">(D7-D6)/D6</f>
        <v>-0.0721599219892735</v>
      </c>
    </row>
    <row r="8" customFormat="false" ht="15" hidden="false" customHeight="false" outlineLevel="0" collapsed="false">
      <c r="A8" s="12" t="s">
        <v>41</v>
      </c>
      <c r="B8" s="13" t="n">
        <v>4</v>
      </c>
      <c r="C8" s="13" t="n">
        <v>270</v>
      </c>
      <c r="D8" s="14" t="n">
        <v>108750</v>
      </c>
      <c r="E8" s="14" t="n">
        <v>32625</v>
      </c>
      <c r="F8" s="15" t="n">
        <f aca="false">E8/D8</f>
        <v>0.3</v>
      </c>
      <c r="G8" s="20" t="n">
        <f aca="false">(D8-D7)/D7</f>
        <v>0.142932212296374</v>
      </c>
    </row>
    <row r="9" customFormat="false" ht="15" hidden="false" customHeight="false" outlineLevel="0" collapsed="false">
      <c r="A9" s="17" t="s">
        <v>46</v>
      </c>
      <c r="B9" s="18" t="n">
        <v>4</v>
      </c>
      <c r="C9" s="18" t="n">
        <v>362</v>
      </c>
      <c r="D9" s="19" t="n">
        <v>131850</v>
      </c>
      <c r="E9" s="19" t="n">
        <v>39555</v>
      </c>
      <c r="F9" s="15" t="n">
        <f aca="false">E9/D9</f>
        <v>0.3</v>
      </c>
      <c r="G9" s="20" t="n">
        <f aca="false">(D9-D8)/D8</f>
        <v>0.212413793103448</v>
      </c>
    </row>
    <row r="10" customFormat="false" ht="15" hidden="false" customHeight="false" outlineLevel="0" collapsed="false">
      <c r="A10" s="21" t="s">
        <v>56</v>
      </c>
      <c r="B10" s="22" t="n">
        <f aca="false">SUM(B4:B9)</f>
        <v>24</v>
      </c>
      <c r="C10" s="22" t="n">
        <f aca="false">SUM(C4:C9)</f>
        <v>1617</v>
      </c>
      <c r="D10" s="22" t="n">
        <f aca="false">SUM(D4:D9)</f>
        <v>599700</v>
      </c>
      <c r="E10" s="22" t="n">
        <f aca="false">SUM(E4:E9)</f>
        <v>179910</v>
      </c>
      <c r="F10" s="23" t="n">
        <f aca="false">E10/D10</f>
        <v>0.3</v>
      </c>
      <c r="G10" s="24" t="s">
        <v>57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8"/>
  </cols>
  <sheetData>
    <row r="1" customFormat="false" ht="34.5" hidden="false" customHeight="true" outlineLevel="0" collapsed="false">
      <c r="A1" s="1" t="s">
        <v>58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3</v>
      </c>
      <c r="B3" s="2" t="s">
        <v>4</v>
      </c>
      <c r="C3" s="2" t="s">
        <v>59</v>
      </c>
      <c r="D3" s="2" t="s">
        <v>60</v>
      </c>
      <c r="E3" s="2" t="s">
        <v>61</v>
      </c>
      <c r="F3" s="2" t="s">
        <v>62</v>
      </c>
      <c r="H3" s="25" t="s">
        <v>4</v>
      </c>
      <c r="I3" s="25" t="s">
        <v>63</v>
      </c>
    </row>
    <row r="4" customFormat="false" ht="15" hidden="false" customHeight="false" outlineLevel="0" collapsed="false">
      <c r="A4" s="26" t="s">
        <v>11</v>
      </c>
      <c r="B4" s="27" t="s">
        <v>12</v>
      </c>
      <c r="C4" s="27" t="n">
        <v>282</v>
      </c>
      <c r="D4" s="28" t="n">
        <v>98700</v>
      </c>
      <c r="E4" s="28" t="n">
        <v>29610</v>
      </c>
      <c r="F4" s="29" t="s">
        <v>64</v>
      </c>
      <c r="H4" s="25" t="s">
        <v>12</v>
      </c>
      <c r="I4" s="0" t="n">
        <v>228750</v>
      </c>
    </row>
    <row r="5" customFormat="false" ht="15" hidden="false" customHeight="false" outlineLevel="0" collapsed="false">
      <c r="A5" s="26" t="s">
        <v>32</v>
      </c>
      <c r="B5" s="27" t="s">
        <v>17</v>
      </c>
      <c r="C5" s="27" t="n">
        <v>125</v>
      </c>
      <c r="D5" s="28" t="n">
        <v>93750</v>
      </c>
      <c r="E5" s="28" t="n">
        <v>28125</v>
      </c>
      <c r="F5" s="29" t="s">
        <v>65</v>
      </c>
      <c r="H5" s="25" t="s">
        <v>17</v>
      </c>
      <c r="I5" s="0" t="n">
        <v>190750</v>
      </c>
    </row>
    <row r="6" customFormat="false" ht="15" hidden="false" customHeight="false" outlineLevel="0" collapsed="false">
      <c r="A6" s="30" t="s">
        <v>14</v>
      </c>
      <c r="B6" s="31" t="s">
        <v>12</v>
      </c>
      <c r="C6" s="31" t="n">
        <v>405</v>
      </c>
      <c r="D6" s="32" t="n">
        <v>72900</v>
      </c>
      <c r="E6" s="32" t="n">
        <v>21870</v>
      </c>
      <c r="F6" s="33" t="s">
        <v>66</v>
      </c>
      <c r="H6" s="25" t="s">
        <v>20</v>
      </c>
      <c r="I6" s="0" t="n">
        <v>49600</v>
      </c>
    </row>
    <row r="7" customFormat="false" ht="15" hidden="false" customHeight="false" outlineLevel="0" collapsed="false">
      <c r="A7" s="30" t="s">
        <v>26</v>
      </c>
      <c r="B7" s="31" t="s">
        <v>17</v>
      </c>
      <c r="C7" s="31" t="n">
        <v>105</v>
      </c>
      <c r="D7" s="32" t="n">
        <v>63000</v>
      </c>
      <c r="E7" s="32" t="n">
        <v>18900</v>
      </c>
      <c r="F7" s="33" t="s">
        <v>67</v>
      </c>
    </row>
    <row r="8" customFormat="false" ht="15" hidden="false" customHeight="false" outlineLevel="0" collapsed="false">
      <c r="A8" s="34" t="s">
        <v>24</v>
      </c>
      <c r="B8" s="13" t="s">
        <v>12</v>
      </c>
      <c r="C8" s="13" t="n">
        <v>127</v>
      </c>
      <c r="D8" s="14" t="n">
        <v>57150</v>
      </c>
      <c r="E8" s="14" t="n">
        <v>17145</v>
      </c>
      <c r="F8" s="12" t="s">
        <v>68</v>
      </c>
    </row>
    <row r="9" customFormat="false" ht="15" hidden="false" customHeight="false" outlineLevel="0" collapsed="false">
      <c r="A9" s="34" t="s">
        <v>16</v>
      </c>
      <c r="B9" s="13" t="s">
        <v>17</v>
      </c>
      <c r="C9" s="13" t="n">
        <v>68</v>
      </c>
      <c r="D9" s="14" t="n">
        <v>34000</v>
      </c>
      <c r="E9" s="14" t="n">
        <v>10200</v>
      </c>
      <c r="F9" s="12" t="s">
        <v>69</v>
      </c>
    </row>
    <row r="10" customFormat="false" ht="15" hidden="false" customHeight="false" outlineLevel="0" collapsed="false">
      <c r="A10" s="35" t="s">
        <v>19</v>
      </c>
      <c r="B10" s="3" t="s">
        <v>20</v>
      </c>
      <c r="C10" s="3" t="n">
        <v>230</v>
      </c>
      <c r="D10" s="36" t="n">
        <v>27600</v>
      </c>
      <c r="E10" s="36" t="n">
        <v>8280</v>
      </c>
      <c r="F10" s="37" t="s">
        <v>70</v>
      </c>
    </row>
    <row r="11" customFormat="false" ht="15" hidden="false" customHeight="false" outlineLevel="0" collapsed="false">
      <c r="A11" s="35" t="s">
        <v>28</v>
      </c>
      <c r="B11" s="3" t="s">
        <v>20</v>
      </c>
      <c r="C11" s="3" t="n">
        <v>275</v>
      </c>
      <c r="D11" s="36" t="n">
        <v>22000</v>
      </c>
      <c r="E11" s="36" t="n">
        <v>6600</v>
      </c>
      <c r="F11" s="37" t="s">
        <v>71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0" min="9" style="0" width="10"/>
  </cols>
  <sheetData>
    <row r="1" customFormat="false" ht="39.75" hidden="false" customHeight="true" outlineLevel="0" collapsed="false">
      <c r="A1" s="38" t="s">
        <v>72</v>
      </c>
      <c r="B1" s="38"/>
      <c r="C1" s="38"/>
      <c r="D1" s="38"/>
      <c r="E1" s="38"/>
      <c r="F1" s="38"/>
      <c r="G1" s="38"/>
      <c r="H1" s="38"/>
      <c r="I1" s="38"/>
      <c r="J1" s="38"/>
    </row>
    <row r="2" customFormat="false" ht="19.5" hidden="false" customHeight="true" outlineLevel="0" collapsed="false">
      <c r="A2" s="39" t="s">
        <v>73</v>
      </c>
      <c r="B2" s="39"/>
      <c r="C2" s="39"/>
      <c r="D2" s="39"/>
      <c r="E2" s="39"/>
      <c r="F2" s="39"/>
      <c r="G2" s="39"/>
      <c r="H2" s="39"/>
      <c r="I2" s="39"/>
      <c r="J2" s="39"/>
    </row>
    <row r="4" customFormat="false" ht="23.85" hidden="false" customHeight="true" outlineLevel="0" collapsed="false">
      <c r="A4" s="40" t="s">
        <v>74</v>
      </c>
      <c r="B4" s="40"/>
      <c r="C4" s="41" t="s">
        <v>75</v>
      </c>
      <c r="D4" s="41"/>
      <c r="E4" s="42" t="s">
        <v>76</v>
      </c>
      <c r="F4" s="42"/>
      <c r="G4" s="43" t="s">
        <v>77</v>
      </c>
      <c r="H4" s="43"/>
    </row>
    <row r="5" customFormat="false" ht="19.7" hidden="false" customHeight="false" outlineLevel="0" collapsed="false">
      <c r="A5" s="44" t="n">
        <f aca="false">SUM('Monthly Summary'!D4:D9)</f>
        <v>599700</v>
      </c>
      <c r="B5" s="44"/>
      <c r="C5" s="45" t="n">
        <f aca="false">SUM('Monthly Summary'!E4:E9)</f>
        <v>179910</v>
      </c>
      <c r="D5" s="45"/>
      <c r="E5" s="46" t="n">
        <f aca="false">SUM('Monthly Summary'!C4:C9)</f>
        <v>1617</v>
      </c>
      <c r="F5" s="46"/>
      <c r="G5" s="47" t="n">
        <f aca="false">IFERROR(SUM('Monthly Summary'!E4:E9)/SUM('Monthly Summary'!D4:D9),0)</f>
        <v>0.3</v>
      </c>
      <c r="H5" s="47"/>
    </row>
    <row r="6" customFormat="false" ht="15" hidden="false" customHeight="false" outlineLevel="0" collapsed="false">
      <c r="A6" s="48"/>
      <c r="B6" s="48"/>
      <c r="C6" s="49"/>
      <c r="D6" s="49"/>
      <c r="E6" s="50"/>
      <c r="F6" s="50"/>
      <c r="G6" s="51"/>
      <c r="H6" s="51"/>
    </row>
    <row r="8" customFormat="false" ht="15" hidden="false" customHeight="true" outlineLevel="0" collapsed="false">
      <c r="A8" s="52" t="s">
        <v>78</v>
      </c>
      <c r="B8" s="52"/>
      <c r="C8" s="52"/>
      <c r="D8" s="52"/>
      <c r="F8" s="52" t="s">
        <v>79</v>
      </c>
      <c r="G8" s="52"/>
      <c r="H8" s="52"/>
      <c r="I8" s="52"/>
    </row>
    <row r="9" customFormat="false" ht="15" hidden="false" customHeight="false" outlineLevel="0" collapsed="false">
      <c r="A9" s="53" t="s">
        <v>62</v>
      </c>
      <c r="B9" s="53" t="s">
        <v>3</v>
      </c>
      <c r="C9" s="53" t="s">
        <v>7</v>
      </c>
      <c r="D9" s="53" t="s">
        <v>4</v>
      </c>
      <c r="F9" s="53" t="s">
        <v>2</v>
      </c>
      <c r="G9" s="53" t="s">
        <v>63</v>
      </c>
      <c r="H9" s="53" t="s">
        <v>80</v>
      </c>
      <c r="I9" s="53" t="s">
        <v>81</v>
      </c>
    </row>
    <row r="10" customFormat="false" ht="15" hidden="false" customHeight="false" outlineLevel="0" collapsed="false">
      <c r="A10" s="29" t="s">
        <v>64</v>
      </c>
      <c r="B10" s="54" t="s">
        <v>11</v>
      </c>
      <c r="C10" s="55" t="n">
        <v>98700</v>
      </c>
      <c r="D10" s="27" t="s">
        <v>12</v>
      </c>
      <c r="F10" s="13" t="s">
        <v>82</v>
      </c>
      <c r="G10" s="14" t="n">
        <v>71750</v>
      </c>
      <c r="H10" s="14" t="n">
        <v>21525</v>
      </c>
      <c r="I10" s="12" t="s">
        <v>55</v>
      </c>
    </row>
    <row r="11" customFormat="false" ht="15" hidden="false" customHeight="false" outlineLevel="0" collapsed="false">
      <c r="A11" s="29" t="s">
        <v>65</v>
      </c>
      <c r="B11" s="54" t="s">
        <v>14</v>
      </c>
      <c r="C11" s="55" t="n">
        <v>72900</v>
      </c>
      <c r="D11" s="27" t="s">
        <v>12</v>
      </c>
      <c r="F11" s="18" t="s">
        <v>83</v>
      </c>
      <c r="G11" s="19" t="n">
        <v>89650</v>
      </c>
      <c r="H11" s="19" t="n">
        <v>26895</v>
      </c>
      <c r="I11" s="56" t="s">
        <v>84</v>
      </c>
    </row>
    <row r="12" customFormat="false" ht="15" hidden="false" customHeight="false" outlineLevel="0" collapsed="false">
      <c r="A12" s="33" t="s">
        <v>66</v>
      </c>
      <c r="B12" s="57" t="s">
        <v>32</v>
      </c>
      <c r="C12" s="58" t="n">
        <v>93750</v>
      </c>
      <c r="D12" s="31" t="s">
        <v>17</v>
      </c>
      <c r="F12" s="13" t="s">
        <v>85</v>
      </c>
      <c r="G12" s="14" t="n">
        <v>102550</v>
      </c>
      <c r="H12" s="14" t="n">
        <v>30765</v>
      </c>
      <c r="I12" s="59" t="s">
        <v>86</v>
      </c>
    </row>
    <row r="13" customFormat="false" ht="15" hidden="false" customHeight="false" outlineLevel="0" collapsed="false">
      <c r="A13" s="12" t="s">
        <v>67</v>
      </c>
      <c r="B13" s="60" t="s">
        <v>26</v>
      </c>
      <c r="C13" s="61" t="n">
        <v>63000</v>
      </c>
      <c r="D13" s="13" t="s">
        <v>17</v>
      </c>
      <c r="F13" s="18" t="s">
        <v>87</v>
      </c>
      <c r="G13" s="19" t="n">
        <v>95150</v>
      </c>
      <c r="H13" s="19" t="n">
        <v>28545</v>
      </c>
      <c r="I13" s="62" t="s">
        <v>88</v>
      </c>
    </row>
    <row r="14" customFormat="false" ht="15" hidden="false" customHeight="false" outlineLevel="0" collapsed="false">
      <c r="A14" s="12" t="s">
        <v>68</v>
      </c>
      <c r="B14" s="60" t="s">
        <v>24</v>
      </c>
      <c r="C14" s="61" t="n">
        <v>57150</v>
      </c>
      <c r="D14" s="13" t="s">
        <v>12</v>
      </c>
      <c r="F14" s="13" t="s">
        <v>41</v>
      </c>
      <c r="G14" s="14" t="n">
        <v>108750</v>
      </c>
      <c r="H14" s="14" t="n">
        <v>32625</v>
      </c>
      <c r="I14" s="59" t="s">
        <v>86</v>
      </c>
    </row>
    <row r="15" customFormat="false" ht="15" hidden="false" customHeight="false" outlineLevel="0" collapsed="false">
      <c r="F15" s="18" t="s">
        <v>89</v>
      </c>
      <c r="G15" s="19" t="n">
        <v>131850</v>
      </c>
      <c r="H15" s="19" t="n">
        <v>39555</v>
      </c>
      <c r="I15" s="56" t="s">
        <v>90</v>
      </c>
    </row>
  </sheetData>
  <mergeCells count="16">
    <mergeCell ref="A1:J1"/>
    <mergeCell ref="A2:J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8:D8"/>
    <mergeCell ref="F8:I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2026-05-20T22:23:46Z</dcterms:created>
  <dc:creator>openpyxl</dc:creator>
  <dc:description/>
  <dc:language>en-US</dc:language>
  <cp:lastModifiedBy/>
  <dcterms:modified xsi:type="dcterms:W3CDTF">2026-05-20T22:23:55Z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