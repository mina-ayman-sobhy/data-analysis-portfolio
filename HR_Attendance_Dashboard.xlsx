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Attendance Log" sheetId="2" state="visible" r:id="rId4"/>
    <sheet name="Department 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<sst xmlns="http://schemas.openxmlformats.org/spreadsheetml/2006/main" count="168" uniqueCount="89">
  <si>
    <t xml:space="preserve">👥 EMPLOYEE MASTER DATA</t>
  </si>
  <si>
    <t xml:space="preserve">Employee ID</t>
  </si>
  <si>
    <t xml:space="preserve">Full Name</t>
  </si>
  <si>
    <t xml:space="preserve">Department</t>
  </si>
  <si>
    <t xml:space="preserve">Position</t>
  </si>
  <si>
    <t xml:space="preserve">Join Date</t>
  </si>
  <si>
    <t xml:space="preserve">Working Days/Month</t>
  </si>
  <si>
    <t xml:space="preserve">Status</t>
  </si>
  <si>
    <t xml:space="preserve">EMP001</t>
  </si>
  <si>
    <t xml:space="preserve">Ahmed Mohamed</t>
  </si>
  <si>
    <t xml:space="preserve">Engineering</t>
  </si>
  <si>
    <t xml:space="preserve">Senior Developer</t>
  </si>
  <si>
    <t xml:space="preserve">2023-01-15</t>
  </si>
  <si>
    <t xml:space="preserve">Active</t>
  </si>
  <si>
    <t xml:space="preserve">EMP002</t>
  </si>
  <si>
    <t xml:space="preserve">Sara Ahmed</t>
  </si>
  <si>
    <t xml:space="preserve">Marketing</t>
  </si>
  <si>
    <t xml:space="preserve">Marketing Manager</t>
  </si>
  <si>
    <t xml:space="preserve">2022-06-01</t>
  </si>
  <si>
    <t xml:space="preserve">EMP003</t>
  </si>
  <si>
    <t xml:space="preserve">Mohamed Ali</t>
  </si>
  <si>
    <t xml:space="preserve">Finance</t>
  </si>
  <si>
    <t xml:space="preserve">Financial Analyst</t>
  </si>
  <si>
    <t xml:space="preserve">2023-03-20</t>
  </si>
  <si>
    <t xml:space="preserve">EMP004</t>
  </si>
  <si>
    <t xml:space="preserve">Nour Hassan</t>
  </si>
  <si>
    <t xml:space="preserve">Junior Developer</t>
  </si>
  <si>
    <t xml:space="preserve">2024-01-10</t>
  </si>
  <si>
    <t xml:space="preserve">EMP005</t>
  </si>
  <si>
    <t xml:space="preserve">Karim Ibrahim</t>
  </si>
  <si>
    <t xml:space="preserve">HR</t>
  </si>
  <si>
    <t xml:space="preserve">HR Specialist</t>
  </si>
  <si>
    <t xml:space="preserve">2021-09-05</t>
  </si>
  <si>
    <t xml:space="preserve">EMP006</t>
  </si>
  <si>
    <t xml:space="preserve">Layla Mahmoud</t>
  </si>
  <si>
    <t xml:space="preserve">Content Creator</t>
  </si>
  <si>
    <t xml:space="preserve">2023-07-15</t>
  </si>
  <si>
    <t xml:space="preserve">EMP007</t>
  </si>
  <si>
    <t xml:space="preserve">Omar Samir</t>
  </si>
  <si>
    <t xml:space="preserve">DevOps Engineer</t>
  </si>
  <si>
    <t xml:space="preserve">2022-11-20</t>
  </si>
  <si>
    <t xml:space="preserve">EMP008</t>
  </si>
  <si>
    <t xml:space="preserve">Dina Youssef</t>
  </si>
  <si>
    <t xml:space="preserve">Accountant</t>
  </si>
  <si>
    <t xml:space="preserve">2023-05-08</t>
  </si>
  <si>
    <t xml:space="preserve">EMP009</t>
  </si>
  <si>
    <t xml:space="preserve">Tarek Fawzy</t>
  </si>
  <si>
    <t xml:space="preserve">Sales</t>
  </si>
  <si>
    <t xml:space="preserve">Sales Representative</t>
  </si>
  <si>
    <t xml:space="preserve">2024-02-14</t>
  </si>
  <si>
    <t xml:space="preserve">EMP010</t>
  </si>
  <si>
    <t xml:space="preserve">Hana Adel</t>
  </si>
  <si>
    <t xml:space="preserve">Recruiter</t>
  </si>
  <si>
    <t xml:space="preserve">2023-08-22</t>
  </si>
  <si>
    <t xml:space="preserve">📋 MONTHLY ATTENDANCE LOG — JUNE 2026</t>
  </si>
  <si>
    <t xml:space="preserve">Days Present</t>
  </si>
  <si>
    <t xml:space="preserve">Days Absent</t>
  </si>
  <si>
    <t xml:space="preserve">Days Late</t>
  </si>
  <si>
    <t xml:space="preserve">Leave Days</t>
  </si>
  <si>
    <t xml:space="preserve">Attendance Rate</t>
  </si>
  <si>
    <t xml:space="preserve">DEPARTMENT TOTALS</t>
  </si>
  <si>
    <t xml:space="preserve">🏢 DEPARTMENT ATTENDANCE SUMMARY</t>
  </si>
  <si>
    <t xml:space="preserve">Total Employees</t>
  </si>
  <si>
    <t xml:space="preserve">Avg Present Days</t>
  </si>
  <si>
    <t xml:space="preserve">Avg Absent Days</t>
  </si>
  <si>
    <t xml:space="preserve">Avg Late Days</t>
  </si>
  <si>
    <t xml:space="preserve">Avg Attendance Rate</t>
  </si>
  <si>
    <t xml:space="preserve">👥 HR ATTENDANCE DASHBOARD — JUNE 2026</t>
  </si>
  <si>
    <t xml:space="preserve">Real-time Attendance Tracking  |  10 Employees  |  22 Working Days</t>
  </si>
  <si>
    <t xml:space="preserve">👥 Total Employees</t>
  </si>
  <si>
    <t xml:space="preserve">✅ Avg Attendance</t>
  </si>
  <si>
    <t xml:space="preserve">❌ Total Absences</t>
  </si>
  <si>
    <t xml:space="preserve">🏆 Perfect Attendance</t>
  </si>
  <si>
    <t xml:space="preserve">10</t>
  </si>
  <si>
    <t xml:space="preserve">2</t>
  </si>
  <si>
    <t xml:space="preserve">🏆 TOP PERFORMERS</t>
  </si>
  <si>
    <t xml:space="preserve">Employee</t>
  </si>
  <si>
    <t xml:space="preserve">Count</t>
  </si>
  <si>
    <t xml:space="preserve">🥇 Perfect</t>
  </si>
  <si>
    <t xml:space="preserve">Perfect (22 days)</t>
  </si>
  <si>
    <t xml:space="preserve">Excellent (20-21)</t>
  </si>
  <si>
    <t xml:space="preserve">🥈 Excellent</t>
  </si>
  <si>
    <t xml:space="preserve">Good (18-19)</t>
  </si>
  <si>
    <t xml:space="preserve">Poor (&lt;18)</t>
  </si>
  <si>
    <t xml:space="preserve">🥉 Good</t>
  </si>
  <si>
    <t xml:space="preserve">⚠️ NEEDS ATTENTION</t>
  </si>
  <si>
    <t xml:space="preserve">Action Required</t>
  </si>
  <si>
    <t xml:space="preserve">⚠️ HR Follow-up</t>
  </si>
  <si>
    <t xml:space="preserve">📋 Warning Letter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</si>
</sst>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8"/>
      <color rgb="FF1A3A5C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E2EFDA"/>
      </patternFill>
    </fill>
    <fill>
      <patternFill patternType="solid">
        <fgColor rgb="FF70AD47"/>
        <bgColor rgb="FF9BBB59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FF8C00"/>
      <rgbColor rgb="FFFF6600"/>
      <rgbColor rgb="FF8064A2"/>
      <rgbColor rgb="FF70AD47"/>
      <rgbColor rgb="FF1A3A5C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Attendance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'Department Summary'!C3</c:f>
              <c:strCache>
                <c:ptCount val="1"/>
                <c:pt idx="0">
                  <c:v>Avg Present Days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Summary'!$A$4:$A$8</c:f>
              <c:strCache>
                <c:ptCount val="5"/>
                <c:pt idx="0">
                  <c:v>Engineering</c:v>
                </c:pt>
                <c:pt idx="1">
                  <c:v>Marketing</c:v>
                </c:pt>
                <c:pt idx="2">
                  <c:v>Finance</c:v>
                </c:pt>
                <c:pt idx="3">
                  <c:v>HR</c:v>
                </c:pt>
                <c:pt idx="4">
                  <c:v>Sales</c:v>
                </c:pt>
              </c:strCache>
            </c:strRef>
          </c:cat>
          <c:val>
            <c:numRef>
              <c:f>'Department Summary'!$C$4:$C$8</c:f>
              <c:numCache>
                <c:formatCode>General</c:formatCode>
                <c:ptCount val="5"/>
                <c:pt idx="0">
                  <c:v>20</c:v>
                </c:pt>
                <c:pt idx="1">
                  <c:v>19.5</c:v>
                </c:pt>
                <c:pt idx="2">
                  <c:v>20.5</c:v>
                </c:pt>
                <c:pt idx="3">
                  <c:v>21</c:v>
                </c:pt>
                <c:pt idx="4">
                  <c:v>17</c:v>
                </c:pt>
              </c:numCache>
            </c:numRef>
          </c:val>
        </c:ser>
        <c:ser>
          <c:idx val="1"/>
          <c:order val="1"/>
          <c:tx>
            <c:strRef>
              <c:f>'Department Summary'!D3</c:f>
              <c:strCache>
                <c:ptCount val="1"/>
                <c:pt idx="0">
                  <c:v>Avg Absent Days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'Department Summary'!$A$4:$A$8</c:f>
              <c:strCache>
                <c:ptCount val="5"/>
                <c:pt idx="0">
                  <c:v>Engineering</c:v>
                </c:pt>
                <c:pt idx="1">
                  <c:v>Marketing</c:v>
                </c:pt>
                <c:pt idx="2">
                  <c:v>Finance</c:v>
                </c:pt>
                <c:pt idx="3">
                  <c:v>HR</c:v>
                </c:pt>
                <c:pt idx="4">
                  <c:v>Sales</c:v>
                </c:pt>
              </c:strCache>
            </c:strRef>
          </c:cat>
          <c:val>
            <c:numRef>
              <c:f>'Department Summary'!$D$4:$D$8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38525117"/>
        <c:axId val="89687320"/>
      </c:barChart>
      <c:catAx>
        <c:axId val="385251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87320"/>
        <c:crosses val="autoZero"/>
        <c:auto val="1"/>
        <c:lblAlgn val="ctr"/>
        <c:lblOffset val="100"/>
        <c:noMultiLvlLbl val="0"/>
      </c:catAx>
      <c:valAx>
        <c:axId val="89687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25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Dashboard!$F$10:$F$13</c:f>
              <c:strCache>
                <c:ptCount val="4"/>
                <c:pt idx="0">
                  <c:v>Perfect (22 days)</c:v>
                </c:pt>
                <c:pt idx="1">
                  <c:v>Excellent (20-21)</c:v>
                </c:pt>
                <c:pt idx="2">
                  <c:v>Good (18-19)</c:v>
                </c:pt>
                <c:pt idx="3">
                  <c:v>Poor (&lt;18)</c:v>
                </c:pt>
              </c:strCache>
            </c:strRef>
          </c:cat>
          <c:val>
            <c:numRef>
              <c:f>Dashboard!$G$10:$G$13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80640</xdr:colOff>
      <xdr:row>35</xdr:row>
      <xdr:rowOff>86400</xdr:rowOff>
    </xdr:to>
    <xdr:graphicFrame>
      <xdr:nvGraphicFramePr>
        <xdr:cNvPr id="0" name="Chart 1"/>
        <xdr:cNvGraphicFramePr/>
      </xdr:nvGraphicFramePr>
      <xdr:xfrm>
        <a:off x="0" y="19620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178920</xdr:rowOff>
    </xdr:from>
    <xdr:to>
      <xdr:col>10</xdr:col>
      <xdr:colOff>105840</xdr:colOff>
      <xdr:row>34</xdr:row>
      <xdr:rowOff>117000</xdr:rowOff>
    </xdr:to>
    <xdr:graphicFrame>
      <xdr:nvGraphicFramePr>
        <xdr:cNvPr id="1" name="Chart 1"/>
        <xdr:cNvGraphicFramePr/>
      </xdr:nvGraphicFramePr>
      <xdr:xfrm>
        <a:off x="4511160" y="27907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4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n">
        <v>22</v>
      </c>
      <c r="G4" s="4" t="s">
        <v>13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n">
        <v>22</v>
      </c>
      <c r="G5" s="6" t="s">
        <v>13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n">
        <v>22</v>
      </c>
      <c r="G6" s="4" t="s">
        <v>13</v>
      </c>
    </row>
    <row r="7" customFormat="false" ht="15" hidden="false" customHeight="false" outlineLevel="0" collapsed="false">
      <c r="A7" s="5" t="s">
        <v>24</v>
      </c>
      <c r="B7" s="5" t="s">
        <v>25</v>
      </c>
      <c r="C7" s="5" t="s">
        <v>10</v>
      </c>
      <c r="D7" s="5" t="s">
        <v>26</v>
      </c>
      <c r="E7" s="5" t="s">
        <v>27</v>
      </c>
      <c r="F7" s="5" t="n">
        <v>22</v>
      </c>
      <c r="G7" s="6" t="s">
        <v>13</v>
      </c>
    </row>
    <row r="8" customFormat="false" ht="1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n">
        <v>22</v>
      </c>
      <c r="G8" s="4" t="s">
        <v>13</v>
      </c>
    </row>
    <row r="9" customFormat="false" ht="15" hidden="false" customHeight="false" outlineLevel="0" collapsed="false">
      <c r="A9" s="5" t="s">
        <v>33</v>
      </c>
      <c r="B9" s="5" t="s">
        <v>34</v>
      </c>
      <c r="C9" s="5" t="s">
        <v>16</v>
      </c>
      <c r="D9" s="5" t="s">
        <v>35</v>
      </c>
      <c r="E9" s="5" t="s">
        <v>36</v>
      </c>
      <c r="F9" s="5" t="n">
        <v>22</v>
      </c>
      <c r="G9" s="6" t="s">
        <v>13</v>
      </c>
    </row>
    <row r="10" customFormat="false" ht="15" hidden="false" customHeight="false" outlineLevel="0" collapsed="false">
      <c r="A10" s="3" t="s">
        <v>37</v>
      </c>
      <c r="B10" s="3" t="s">
        <v>38</v>
      </c>
      <c r="C10" s="3" t="s">
        <v>10</v>
      </c>
      <c r="D10" s="3" t="s">
        <v>39</v>
      </c>
      <c r="E10" s="3" t="s">
        <v>40</v>
      </c>
      <c r="F10" s="3" t="n">
        <v>22</v>
      </c>
      <c r="G10" s="4" t="s">
        <v>13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21</v>
      </c>
      <c r="D11" s="5" t="s">
        <v>43</v>
      </c>
      <c r="E11" s="5" t="s">
        <v>44</v>
      </c>
      <c r="F11" s="5" t="n">
        <v>22</v>
      </c>
      <c r="G11" s="6" t="s">
        <v>13</v>
      </c>
    </row>
    <row r="12" customFormat="false" ht="15" hidden="false" customHeight="false" outlineLevel="0" collapsed="false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49</v>
      </c>
      <c r="F12" s="3" t="n">
        <v>22</v>
      </c>
      <c r="G12" s="4" t="s">
        <v>13</v>
      </c>
    </row>
    <row r="13" customFormat="false" ht="15" hidden="false" customHeight="false" outlineLevel="0" collapsed="false">
      <c r="A13" s="5" t="s">
        <v>50</v>
      </c>
      <c r="B13" s="5" t="s">
        <v>51</v>
      </c>
      <c r="C13" s="5" t="s">
        <v>30</v>
      </c>
      <c r="D13" s="5" t="s">
        <v>52</v>
      </c>
      <c r="E13" s="5" t="s">
        <v>53</v>
      </c>
      <c r="F13" s="5" t="n">
        <v>22</v>
      </c>
      <c r="G13" s="6" t="s">
        <v>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6"/>
  </cols>
  <sheetData>
    <row r="1" customFormat="false" ht="34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n">
        <v>20</v>
      </c>
      <c r="E4" s="3" t="n">
        <v>1</v>
      </c>
      <c r="F4" s="3" t="n">
        <v>1</v>
      </c>
      <c r="G4" s="3" t="n">
        <v>0</v>
      </c>
      <c r="H4" s="7" t="n">
        <f aca="false">D4/22</f>
        <v>0.909090909090909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n">
        <v>19</v>
      </c>
      <c r="E5" s="5" t="n">
        <v>1</v>
      </c>
      <c r="F5" s="5" t="n">
        <v>2</v>
      </c>
      <c r="G5" s="5" t="n">
        <v>0</v>
      </c>
      <c r="H5" s="8" t="n">
        <f aca="false">D5/22</f>
        <v>0.863636363636364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s">
        <v>21</v>
      </c>
      <c r="D6" s="3" t="n">
        <v>22</v>
      </c>
      <c r="E6" s="3" t="n">
        <v>0</v>
      </c>
      <c r="F6" s="3" t="n">
        <v>0</v>
      </c>
      <c r="G6" s="3" t="n">
        <v>0</v>
      </c>
      <c r="H6" s="7" t="n">
        <f aca="false">D6/22</f>
        <v>1</v>
      </c>
    </row>
    <row r="7" customFormat="false" ht="15" hidden="false" customHeight="false" outlineLevel="0" collapsed="false">
      <c r="A7" s="5" t="s">
        <v>24</v>
      </c>
      <c r="B7" s="5" t="s">
        <v>25</v>
      </c>
      <c r="C7" s="5" t="s">
        <v>10</v>
      </c>
      <c r="D7" s="5" t="n">
        <v>18</v>
      </c>
      <c r="E7" s="5" t="n">
        <v>2</v>
      </c>
      <c r="F7" s="5" t="n">
        <v>2</v>
      </c>
      <c r="G7" s="5" t="n">
        <v>2</v>
      </c>
      <c r="H7" s="8" t="n">
        <f aca="false">D7/22</f>
        <v>0.818181818181818</v>
      </c>
    </row>
    <row r="8" customFormat="false" ht="15" hidden="false" customHeight="false" outlineLevel="0" collapsed="false">
      <c r="A8" s="3" t="s">
        <v>28</v>
      </c>
      <c r="B8" s="3" t="s">
        <v>29</v>
      </c>
      <c r="C8" s="3" t="s">
        <v>30</v>
      </c>
      <c r="D8" s="3" t="n">
        <v>21</v>
      </c>
      <c r="E8" s="3" t="n">
        <v>0</v>
      </c>
      <c r="F8" s="3" t="n">
        <v>1</v>
      </c>
      <c r="G8" s="3" t="n">
        <v>1</v>
      </c>
      <c r="H8" s="7" t="n">
        <f aca="false">D8/22</f>
        <v>0.954545454545455</v>
      </c>
    </row>
    <row r="9" customFormat="false" ht="15" hidden="false" customHeight="false" outlineLevel="0" collapsed="false">
      <c r="A9" s="5" t="s">
        <v>33</v>
      </c>
      <c r="B9" s="5" t="s">
        <v>34</v>
      </c>
      <c r="C9" s="5" t="s">
        <v>16</v>
      </c>
      <c r="D9" s="5" t="n">
        <v>20</v>
      </c>
      <c r="E9" s="5" t="n">
        <v>1</v>
      </c>
      <c r="F9" s="5" t="n">
        <v>1</v>
      </c>
      <c r="G9" s="5" t="n">
        <v>1</v>
      </c>
      <c r="H9" s="7" t="n">
        <f aca="false">D9/22</f>
        <v>0.909090909090909</v>
      </c>
    </row>
    <row r="10" customFormat="false" ht="15" hidden="false" customHeight="false" outlineLevel="0" collapsed="false">
      <c r="A10" s="3" t="s">
        <v>37</v>
      </c>
      <c r="B10" s="3" t="s">
        <v>38</v>
      </c>
      <c r="C10" s="3" t="s">
        <v>10</v>
      </c>
      <c r="D10" s="3" t="n">
        <v>22</v>
      </c>
      <c r="E10" s="3" t="n">
        <v>0</v>
      </c>
      <c r="F10" s="3" t="n">
        <v>0</v>
      </c>
      <c r="G10" s="3" t="n">
        <v>0</v>
      </c>
      <c r="H10" s="7" t="n">
        <f aca="false">D10/22</f>
        <v>1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21</v>
      </c>
      <c r="D11" s="5" t="n">
        <v>19</v>
      </c>
      <c r="E11" s="5" t="n">
        <v>2</v>
      </c>
      <c r="F11" s="5" t="n">
        <v>1</v>
      </c>
      <c r="G11" s="5" t="n">
        <v>1</v>
      </c>
      <c r="H11" s="8" t="n">
        <f aca="false">D11/22</f>
        <v>0.863636363636364</v>
      </c>
    </row>
    <row r="12" customFormat="false" ht="15" hidden="false" customHeight="false" outlineLevel="0" collapsed="false">
      <c r="A12" s="3" t="s">
        <v>45</v>
      </c>
      <c r="B12" s="3" t="s">
        <v>46</v>
      </c>
      <c r="C12" s="3" t="s">
        <v>47</v>
      </c>
      <c r="D12" s="3" t="n">
        <v>17</v>
      </c>
      <c r="E12" s="3" t="n">
        <v>3</v>
      </c>
      <c r="F12" s="3" t="n">
        <v>2</v>
      </c>
      <c r="G12" s="3" t="n">
        <v>2</v>
      </c>
      <c r="H12" s="9" t="n">
        <f aca="false">D12/22</f>
        <v>0.772727272727273</v>
      </c>
    </row>
    <row r="13" customFormat="false" ht="15" hidden="false" customHeight="false" outlineLevel="0" collapsed="false">
      <c r="A13" s="5" t="s">
        <v>50</v>
      </c>
      <c r="B13" s="5" t="s">
        <v>51</v>
      </c>
      <c r="C13" s="5" t="s">
        <v>30</v>
      </c>
      <c r="D13" s="5" t="n">
        <v>21</v>
      </c>
      <c r="E13" s="5" t="n">
        <v>1</v>
      </c>
      <c r="F13" s="5" t="n">
        <v>0</v>
      </c>
      <c r="G13" s="5" t="n">
        <v>0</v>
      </c>
      <c r="H13" s="7" t="n">
        <f aca="false">D13/22</f>
        <v>0.954545454545455</v>
      </c>
    </row>
    <row r="14" customFormat="false" ht="15" hidden="false" customHeight="true" outlineLevel="0" collapsed="false">
      <c r="A14" s="10" t="s">
        <v>60</v>
      </c>
      <c r="B14" s="10"/>
      <c r="C14" s="10"/>
      <c r="D14" s="11" t="n">
        <f aca="false">SUM(D4:D13)</f>
        <v>199</v>
      </c>
      <c r="E14" s="11" t="n">
        <f aca="false">SUM(E4:E13)</f>
        <v>11</v>
      </c>
      <c r="F14" s="11" t="n">
        <f aca="false">SUM(F4:F13)</f>
        <v>10</v>
      </c>
      <c r="G14" s="12" t="n">
        <f aca="false">SUM(G4:G13)</f>
        <v>7</v>
      </c>
      <c r="H14" s="13" t="n">
        <f aca="false">AVERAGE(H4:H13)</f>
        <v>0.904545454545455</v>
      </c>
    </row>
  </sheetData>
  <mergeCells count="2">
    <mergeCell ref="A1:H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34.5" hidden="false" customHeight="true" outlineLevel="0" collapsed="false">
      <c r="A1" s="1" t="s">
        <v>61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</row>
    <row r="4" customFormat="false" ht="15" hidden="false" customHeight="false" outlineLevel="0" collapsed="false">
      <c r="A4" s="14" t="s">
        <v>10</v>
      </c>
      <c r="B4" s="15" t="n">
        <v>3</v>
      </c>
      <c r="C4" s="15" t="n">
        <v>20</v>
      </c>
      <c r="D4" s="15" t="n">
        <v>1</v>
      </c>
      <c r="E4" s="15" t="n">
        <v>1</v>
      </c>
      <c r="F4" s="16" t="n">
        <f aca="false">C4/22</f>
        <v>0.909090909090909</v>
      </c>
    </row>
    <row r="5" customFormat="false" ht="15" hidden="false" customHeight="false" outlineLevel="0" collapsed="false">
      <c r="A5" s="17" t="s">
        <v>16</v>
      </c>
      <c r="B5" s="18" t="n">
        <v>2</v>
      </c>
      <c r="C5" s="18" t="n">
        <v>19.5</v>
      </c>
      <c r="D5" s="18" t="n">
        <v>1</v>
      </c>
      <c r="E5" s="18" t="n">
        <v>1.5</v>
      </c>
      <c r="F5" s="19" t="n">
        <f aca="false">C5/22</f>
        <v>0.886363636363636</v>
      </c>
    </row>
    <row r="6" customFormat="false" ht="15" hidden="false" customHeight="false" outlineLevel="0" collapsed="false">
      <c r="A6" s="20" t="s">
        <v>21</v>
      </c>
      <c r="B6" s="21" t="n">
        <v>2</v>
      </c>
      <c r="C6" s="21" t="n">
        <v>20.5</v>
      </c>
      <c r="D6" s="21" t="n">
        <v>1</v>
      </c>
      <c r="E6" s="21" t="n">
        <v>0.5</v>
      </c>
      <c r="F6" s="22" t="n">
        <f aca="false">C6/22</f>
        <v>0.931818181818182</v>
      </c>
    </row>
    <row r="7" customFormat="false" ht="15" hidden="false" customHeight="false" outlineLevel="0" collapsed="false">
      <c r="A7" s="23" t="s">
        <v>30</v>
      </c>
      <c r="B7" s="24" t="n">
        <v>2</v>
      </c>
      <c r="C7" s="24" t="n">
        <v>21</v>
      </c>
      <c r="D7" s="24" t="n">
        <v>0.5</v>
      </c>
      <c r="E7" s="24" t="n">
        <v>0.5</v>
      </c>
      <c r="F7" s="25" t="n">
        <f aca="false">C7/22</f>
        <v>0.954545454545455</v>
      </c>
    </row>
    <row r="8" customFormat="false" ht="15" hidden="false" customHeight="false" outlineLevel="0" collapsed="false">
      <c r="A8" s="26" t="s">
        <v>47</v>
      </c>
      <c r="B8" s="27" t="n">
        <v>1</v>
      </c>
      <c r="C8" s="27" t="n">
        <v>17</v>
      </c>
      <c r="D8" s="27" t="n">
        <v>3</v>
      </c>
      <c r="E8" s="27" t="n">
        <v>2</v>
      </c>
      <c r="F8" s="28" t="n">
        <f aca="false">C8/22</f>
        <v>0.772727272727273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"/>
    <col collapsed="false" customWidth="true" hidden="false" outlineLevel="0" max="10" min="6" style="0" width="14"/>
  </cols>
  <sheetData>
    <row r="1" customFormat="false" ht="39.75" hidden="false" customHeight="true" outlineLevel="0" collapsed="false">
      <c r="A1" s="29" t="s">
        <v>67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15" hidden="false" customHeight="true" outlineLevel="0" collapsed="false">
      <c r="A2" s="30" t="s">
        <v>68</v>
      </c>
      <c r="B2" s="30"/>
      <c r="C2" s="30"/>
      <c r="D2" s="30"/>
      <c r="E2" s="30"/>
      <c r="F2" s="30"/>
      <c r="G2" s="30"/>
      <c r="H2" s="30"/>
      <c r="I2" s="30"/>
      <c r="J2" s="30"/>
    </row>
    <row r="4" customFormat="false" ht="23.85" hidden="false" customHeight="true" outlineLevel="0" collapsed="false">
      <c r="A4" s="31" t="s">
        <v>69</v>
      </c>
      <c r="B4" s="31"/>
      <c r="C4" s="32" t="s">
        <v>70</v>
      </c>
      <c r="D4" s="32"/>
      <c r="E4" s="33" t="s">
        <v>71</v>
      </c>
      <c r="F4" s="33"/>
      <c r="G4" s="34" t="s">
        <v>72</v>
      </c>
      <c r="H4" s="34"/>
    </row>
    <row r="5" customFormat="false" ht="22.05" hidden="false" customHeight="true" outlineLevel="0" collapsed="false">
      <c r="A5" s="35" t="s">
        <v>73</v>
      </c>
      <c r="B5" s="35"/>
      <c r="C5" s="36" t="n">
        <f aca="false">AVERAGE('Attendance Log'!H4:H13)</f>
        <v>0.904545454545455</v>
      </c>
      <c r="D5" s="36"/>
      <c r="E5" s="37" t="n">
        <f aca="false">SUM('Attendance Log'!E4:E13)</f>
        <v>11</v>
      </c>
      <c r="F5" s="37"/>
      <c r="G5" s="38" t="s">
        <v>74</v>
      </c>
      <c r="H5" s="38"/>
    </row>
    <row r="6" customFormat="false" ht="15" hidden="false" customHeight="false" outlineLevel="0" collapsed="false">
      <c r="A6" s="39"/>
      <c r="B6" s="39"/>
      <c r="C6" s="40"/>
      <c r="D6" s="40"/>
      <c r="E6" s="41"/>
      <c r="F6" s="41"/>
      <c r="G6" s="42"/>
      <c r="H6" s="42"/>
    </row>
    <row r="8" customFormat="false" ht="15" hidden="false" customHeight="true" outlineLevel="0" collapsed="false">
      <c r="A8" s="43" t="s">
        <v>75</v>
      </c>
      <c r="B8" s="43"/>
      <c r="C8" s="43"/>
      <c r="D8" s="43"/>
    </row>
    <row r="9" customFormat="false" ht="15" hidden="false" customHeight="false" outlineLevel="0" collapsed="false">
      <c r="A9" s="2" t="s">
        <v>76</v>
      </c>
      <c r="B9" s="2" t="s">
        <v>3</v>
      </c>
      <c r="C9" s="2" t="s">
        <v>55</v>
      </c>
      <c r="D9" s="2" t="s">
        <v>7</v>
      </c>
      <c r="F9" s="44" t="s">
        <v>7</v>
      </c>
      <c r="G9" s="44" t="s">
        <v>77</v>
      </c>
    </row>
    <row r="10" customFormat="false" ht="15" hidden="false" customHeight="false" outlineLevel="0" collapsed="false">
      <c r="A10" s="21" t="s">
        <v>20</v>
      </c>
      <c r="B10" s="21" t="s">
        <v>21</v>
      </c>
      <c r="C10" s="21" t="n">
        <v>22</v>
      </c>
      <c r="D10" s="20" t="s">
        <v>78</v>
      </c>
      <c r="F10" s="44" t="s">
        <v>79</v>
      </c>
      <c r="G10" s="0" t="n">
        <v>2</v>
      </c>
    </row>
    <row r="11" customFormat="false" ht="15" hidden="false" customHeight="false" outlineLevel="0" collapsed="false">
      <c r="A11" s="5" t="s">
        <v>38</v>
      </c>
      <c r="B11" s="5" t="s">
        <v>10</v>
      </c>
      <c r="C11" s="5" t="n">
        <v>22</v>
      </c>
      <c r="D11" s="45" t="s">
        <v>78</v>
      </c>
      <c r="F11" s="44" t="s">
        <v>80</v>
      </c>
      <c r="G11" s="0" t="n">
        <v>4</v>
      </c>
    </row>
    <row r="12" customFormat="false" ht="15" hidden="false" customHeight="false" outlineLevel="0" collapsed="false">
      <c r="A12" s="21" t="s">
        <v>29</v>
      </c>
      <c r="B12" s="21" t="s">
        <v>30</v>
      </c>
      <c r="C12" s="21" t="n">
        <v>21</v>
      </c>
      <c r="D12" s="20" t="s">
        <v>81</v>
      </c>
      <c r="F12" s="44" t="s">
        <v>82</v>
      </c>
      <c r="G12" s="0" t="n">
        <v>3</v>
      </c>
    </row>
    <row r="13" customFormat="false" ht="15" hidden="false" customHeight="false" outlineLevel="0" collapsed="false">
      <c r="A13" s="5" t="s">
        <v>51</v>
      </c>
      <c r="B13" s="5" t="s">
        <v>30</v>
      </c>
      <c r="C13" s="5" t="n">
        <v>21</v>
      </c>
      <c r="D13" s="45" t="s">
        <v>81</v>
      </c>
      <c r="F13" s="44" t="s">
        <v>83</v>
      </c>
      <c r="G13" s="0" t="n">
        <v>1</v>
      </c>
    </row>
    <row r="14" customFormat="false" ht="15" hidden="false" customHeight="false" outlineLevel="0" collapsed="false">
      <c r="A14" s="21" t="s">
        <v>9</v>
      </c>
      <c r="B14" s="21" t="s">
        <v>10</v>
      </c>
      <c r="C14" s="21" t="n">
        <v>20</v>
      </c>
      <c r="D14" s="20" t="s">
        <v>84</v>
      </c>
    </row>
    <row r="16" customFormat="false" ht="15" hidden="false" customHeight="true" outlineLevel="0" collapsed="false">
      <c r="A16" s="46" t="s">
        <v>85</v>
      </c>
      <c r="B16" s="46"/>
      <c r="C16" s="46"/>
      <c r="D16" s="46"/>
    </row>
    <row r="17" customFormat="false" ht="15" hidden="false" customHeight="false" outlineLevel="0" collapsed="false">
      <c r="A17" s="2" t="s">
        <v>76</v>
      </c>
      <c r="B17" s="2" t="s">
        <v>3</v>
      </c>
      <c r="C17" s="2" t="s">
        <v>56</v>
      </c>
      <c r="D17" s="2" t="s">
        <v>86</v>
      </c>
    </row>
    <row r="18" customFormat="false" ht="15" hidden="false" customHeight="false" outlineLevel="0" collapsed="false">
      <c r="A18" s="27" t="s">
        <v>46</v>
      </c>
      <c r="B18" s="27" t="s">
        <v>47</v>
      </c>
      <c r="C18" s="27" t="n">
        <v>3</v>
      </c>
      <c r="D18" s="26" t="s">
        <v>87</v>
      </c>
    </row>
    <row r="19" customFormat="false" ht="15" hidden="false" customHeight="false" outlineLevel="0" collapsed="false">
      <c r="A19" s="27" t="s">
        <v>25</v>
      </c>
      <c r="B19" s="27" t="s">
        <v>10</v>
      </c>
      <c r="C19" s="27" t="n">
        <v>2</v>
      </c>
      <c r="D19" s="26" t="s">
        <v>88</v>
      </c>
    </row>
    <row r="20" customFormat="false" ht="15" hidden="false" customHeight="false" outlineLevel="0" collapsed="false">
      <c r="A20" s="27" t="s">
        <v>42</v>
      </c>
      <c r="B20" s="27" t="s">
        <v>21</v>
      </c>
      <c r="C20" s="27" t="n">
        <v>2</v>
      </c>
      <c r="D20" s="26" t="s">
        <v>88</v>
      </c>
    </row>
  </sheetData>
  <mergeCells count="16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D8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2026-05-20T22:20:47Z</dcterms:created>
  <dc:creator>openpyxl</dc:creator>
  <dc:description/>
  <dc:language>en-US</dc:language>
  <cp:lastModifiedBy/>
  <dcterms:modified xsi:type="dcterms:W3CDTF">2026-05-20T22:20:56Z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