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Entry" sheetId="1" state="visible" r:id="rId3"/>
    <sheet name="Monthly Summary" sheetId="2" state="visible" r:id="rId4"/>
    <sheet name="Dashboard" sheetId="3" state="visible" r:id="rId5"/>
    <sheet name="Instruction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<sst xmlns="http://schemas.openxmlformats.org/spreadsheetml/2006/main" count="156" uniqueCount="85">
  <si>
    <t xml:space="preserve">💰 BUDGET TRACKER — DATA ENTRY</t>
  </si>
  <si>
    <t xml:space="preserve">Enter your income and expenses below. Dashboard updates automatically.</t>
  </si>
  <si>
    <t xml:space="preserve">📥 INCOME</t>
  </si>
  <si>
    <t xml:space="preserve">Month</t>
  </si>
  <si>
    <t xml:space="preserve">Source</t>
  </si>
  <si>
    <t xml:space="preserve">Category</t>
  </si>
  <si>
    <t xml:space="preserve">Amount (EGP)</t>
  </si>
  <si>
    <t xml:space="preserve">January</t>
  </si>
  <si>
    <t xml:space="preserve">Freelance Excel Project</t>
  </si>
  <si>
    <t xml:space="preserve">Freelancing</t>
  </si>
  <si>
    <t xml:space="preserve">Data Analysis Service</t>
  </si>
  <si>
    <t xml:space="preserve">February</t>
  </si>
  <si>
    <t xml:space="preserve">Dashboard Design</t>
  </si>
  <si>
    <t xml:space="preserve">Excel Training Session</t>
  </si>
  <si>
    <t xml:space="preserve">Teaching</t>
  </si>
  <si>
    <t xml:space="preserve">March</t>
  </si>
  <si>
    <t xml:space="preserve">Python Script Project</t>
  </si>
  <si>
    <t xml:space="preserve">Data Cleaning Service</t>
  </si>
  <si>
    <t xml:space="preserve">April</t>
  </si>
  <si>
    <t xml:space="preserve">Dashboard Project</t>
  </si>
  <si>
    <t xml:space="preserve">Monthly Retainer Client</t>
  </si>
  <si>
    <t xml:space="preserve">Retainer</t>
  </si>
  <si>
    <t xml:space="preserve">May</t>
  </si>
  <si>
    <t xml:space="preserve">Excel Automation</t>
  </si>
  <si>
    <t xml:space="preserve">Data Analysis Report</t>
  </si>
  <si>
    <t xml:space="preserve">June</t>
  </si>
  <si>
    <t xml:space="preserve">Training Workshop</t>
  </si>
  <si>
    <t xml:space="preserve">TOTAL INCOME</t>
  </si>
  <si>
    <t xml:space="preserve">📤 EXPENSES</t>
  </si>
  <si>
    <t xml:space="preserve">Description</t>
  </si>
  <si>
    <t xml:space="preserve">Internet Subscription</t>
  </si>
  <si>
    <t xml:space="preserve">Utilities</t>
  </si>
  <si>
    <t xml:space="preserve">Software Tools</t>
  </si>
  <si>
    <t xml:space="preserve">Technology</t>
  </si>
  <si>
    <t xml:space="preserve">Books &amp; Courses</t>
  </si>
  <si>
    <t xml:space="preserve">Education</t>
  </si>
  <si>
    <t xml:space="preserve">Marketing Materials</t>
  </si>
  <si>
    <t xml:space="preserve">Marketing</t>
  </si>
  <si>
    <t xml:space="preserve">Software Subscription</t>
  </si>
  <si>
    <t xml:space="preserve">Online Course</t>
  </si>
  <si>
    <t xml:space="preserve">Equipment</t>
  </si>
  <si>
    <t xml:space="preserve">Books</t>
  </si>
  <si>
    <t xml:space="preserve">Software</t>
  </si>
  <si>
    <t xml:space="preserve">Marketing Campaign</t>
  </si>
  <si>
    <t xml:space="preserve">Online Tools</t>
  </si>
  <si>
    <t xml:space="preserve">TOTAL EXPENSES</t>
  </si>
  <si>
    <t xml:space="preserve">📅 MONTHLY SUMMARY</t>
  </si>
  <si>
    <t xml:space="preserve">Total Income</t>
  </si>
  <si>
    <t xml:space="preserve">Total Expenses</t>
  </si>
  <si>
    <t xml:space="preserve">Net Savings</t>
  </si>
  <si>
    <t xml:space="preserve">Savings Rate</t>
  </si>
  <si>
    <t xml:space="preserve">Status</t>
  </si>
  <si>
    <t xml:space="preserve">TOTAL</t>
  </si>
  <si>
    <t xml:space="preserve">📊 Summary</t>
  </si>
  <si>
    <t xml:space="preserve">💰 PERSONAL BUDGET TRACKER DASHBOARD</t>
  </si>
  <si>
    <t xml:space="preserve">6-Month Financial Overview  |  January – June 2026</t>
  </si>
  <si>
    <t xml:space="preserve">💰 Total Income</t>
  </si>
  <si>
    <t xml:space="preserve">💸 Total Expenses</t>
  </si>
  <si>
    <t xml:space="preserve">💎 Net Savings</t>
  </si>
  <si>
    <t xml:space="preserve">📈 Avg Savings Rate</t>
  </si>
  <si>
    <t xml:space="preserve">📊 EXPENSE CATEGORIES</t>
  </si>
  <si>
    <t xml:space="preserve">Total Spent</t>
  </si>
  <si>
    <t xml:space="preserve">% of Expenses</t>
  </si>
  <si>
    <t xml:space="preserve">Bar</t>
  </si>
  <si>
    <t xml:space="preserve">█████</t>
  </si>
  <si>
    <t xml:space="preserve">███████</t>
  </si>
  <si>
    <t xml:space="preserve">███</t>
  </si>
  <si>
    <t xml:space="preserve">💡 FINANCIAL TIPS</t>
  </si>
  <si>
    <t xml:space="preserve">✅ Your savings rate is above 70% — excellent financial health!</t>
  </si>
  <si>
    <t xml:space="preserve">📌 Technology is your highest expense category — review subscriptions</t>
  </si>
  <si>
    <t xml:space="preserve">🎯 Aim to keep expenses below 30% of total income</t>
  </si>
  <si>
    <t xml:space="preserve">📈 Consider reinvesting savings into skills &amp; tools to grow income</t>
  </si>
  <si>
    <t xml:space="preserve">📖 HOW TO USE THIS BUDGET TRACKER</t>
  </si>
  <si>
    <t xml:space="preserve">Step 1</t>
  </si>
  <si>
    <t xml:space="preserve">Go to 'Data Entry' sheet</t>
  </si>
  <si>
    <t xml:space="preserve">Enter your income sources and expenses with their amounts</t>
  </si>
  <si>
    <t xml:space="preserve">Step 2</t>
  </si>
  <si>
    <t xml:space="preserve">Check 'Monthly Summary'</t>
  </si>
  <si>
    <t xml:space="preserve">View income vs expenses by month with auto-calculated net savings</t>
  </si>
  <si>
    <t xml:space="preserve">Step 3</t>
  </si>
  <si>
    <t xml:space="preserve">View Dashboard</t>
  </si>
  <si>
    <t xml:space="preserve">See KPI cards, charts, and category breakdown at a glance</t>
  </si>
  <si>
    <t xml:space="preserve">Step 4</t>
  </si>
  <si>
    <t xml:space="preserve">Update Monthly</t>
  </si>
  <si>
    <t xml:space="preserve">Add new rows for each month to keep your tracker up to 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</si>
</sst>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70C0"/>
      <name val="Arial"/>
      <family val="0"/>
      <charset val="1"/>
    </font>
    <font>
      <sz val="10"/>
      <color rgb="FFC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8"/>
      <color rgb="FFFFFFFF"/>
      <name val="Arial"/>
      <family val="0"/>
      <charset val="1"/>
    </font>
    <font>
      <sz val="11"/>
      <color rgb="FF595959"/>
      <name val="Arial"/>
      <family val="0"/>
      <charset val="1"/>
    </font>
    <font>
      <b val="true"/>
      <sz val="16"/>
      <color rgb="FF70AD47"/>
      <name val="Arial"/>
      <family val="0"/>
      <charset val="1"/>
    </font>
    <font>
      <b val="true"/>
      <sz val="16"/>
      <color rgb="FFC00000"/>
      <name val="Arial"/>
      <family val="0"/>
      <charset val="1"/>
    </font>
    <font>
      <b val="true"/>
      <sz val="16"/>
      <color rgb="FF2E75B6"/>
      <name val="Arial"/>
      <family val="0"/>
      <charset val="1"/>
    </font>
    <font>
      <b val="true"/>
      <sz val="16"/>
      <color rgb="FFFF8C00"/>
      <name val="Arial"/>
      <family val="0"/>
      <charset val="1"/>
    </font>
    <font>
      <sz val="9"/>
      <color rgb="FF2E75B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3A5C"/>
        <bgColor rgb="FF333399"/>
      </patternFill>
    </fill>
    <fill>
      <patternFill patternType="solid">
        <fgColor rgb="FFDEEAF1"/>
        <bgColor rgb="FFE2EFDA"/>
      </patternFill>
    </fill>
    <fill>
      <patternFill patternType="solid">
        <fgColor rgb="FF70AD47"/>
        <bgColor rgb="FF9BBB59"/>
      </patternFill>
    </fill>
    <fill>
      <patternFill patternType="solid">
        <fgColor rgb="FF2E75B6"/>
        <bgColor rgb="FF4F81BD"/>
      </patternFill>
    </fill>
    <fill>
      <patternFill patternType="solid">
        <fgColor rgb="FFE2EFDA"/>
        <bgColor rgb="FFDEEAF1"/>
      </patternFill>
    </fill>
    <fill>
      <patternFill patternType="solid">
        <fgColor rgb="FFFFFFFF"/>
        <bgColor rgb="FFF9F9F9"/>
      </patternFill>
    </fill>
    <fill>
      <patternFill patternType="solid">
        <fgColor rgb="FFC00000"/>
        <bgColor rgb="FF800000"/>
      </patternFill>
    </fill>
    <fill>
      <patternFill patternType="solid">
        <fgColor rgb="FFFCE4D6"/>
        <bgColor rgb="FFFFF2CC"/>
      </patternFill>
    </fill>
    <fill>
      <patternFill patternType="solid">
        <fgColor rgb="FFF2F2F2"/>
        <bgColor rgb="FFF9F9F9"/>
      </patternFill>
    </fill>
    <fill>
      <patternFill patternType="solid">
        <fgColor rgb="FFFFF2CC"/>
        <bgColor rgb="FFFCE4D6"/>
      </patternFill>
    </fill>
    <fill>
      <patternFill patternType="solid">
        <fgColor rgb="FFFF8C00"/>
        <bgColor rgb="FFFF660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0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EEAF1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9F9F9"/>
      <rgbColor rgb="FF99CCFF"/>
      <rgbColor rgb="FFFF99CC"/>
      <rgbColor rgb="FFCC99FF"/>
      <rgbColor rgb="FFFCE4D6"/>
      <rgbColor rgb="FF2E75B6"/>
      <rgbColor rgb="FF33CCCC"/>
      <rgbColor rgb="FF9BBB59"/>
      <rgbColor rgb="FFFFCC00"/>
      <rgbColor rgb="FFFF8C00"/>
      <rgbColor rgb="FFFF6600"/>
      <rgbColor rgb="FF8064A2"/>
      <rgbColor rgb="FF70AD47"/>
      <rgbColor rgb="FF1A3A5C"/>
      <rgbColor rgb="FF4F81BD"/>
      <rgbColor rgb="FF003300"/>
      <rgbColor rgb="FF333300"/>
      <rgbColor rgb="FF993300"/>
      <rgbColor rgb="FF993366"/>
      <rgbColor rgb="FF333399"/>
      <rgbColor rgb="FF59595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Income vs Expenses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'Monthly Summary'!B3</c:f>
              <c:strCache>
                <c:ptCount val="1"/>
                <c:pt idx="0">
                  <c:v>Total Income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Summary'!$A$4:$A$9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Summary'!$B$4:$B$9</c:f>
              <c:numCache>
                <c:formatCode>#,##0</c:formatCode>
                <c:ptCount val="6"/>
                <c:pt idx="0">
                  <c:v>4300</c:v>
                </c:pt>
                <c:pt idx="1">
                  <c:v>4700</c:v>
                </c:pt>
                <c:pt idx="2">
                  <c:v>4000</c:v>
                </c:pt>
                <c:pt idx="3">
                  <c:v>6000</c:v>
                </c:pt>
                <c:pt idx="4">
                  <c:v>5100</c:v>
                </c:pt>
                <c:pt idx="5">
                  <c:v>5100</c:v>
                </c:pt>
              </c:numCache>
            </c:numRef>
          </c:val>
        </c:ser>
        <c:ser>
          <c:idx val="1"/>
          <c:order val="1"/>
          <c:tx>
            <c:strRef>
              <c:f>'Monthly Summary'!C3</c:f>
              <c:strCache>
                <c:ptCount val="1"/>
                <c:pt idx="0">
                  <c:v>Total Expenses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'Monthly Summary'!$A$4:$A$9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'Monthly Summary'!$C$4:$C$9</c:f>
              <c:numCache>
                <c:formatCode>#,##0</c:formatCode>
                <c:ptCount val="6"/>
                <c:pt idx="0">
                  <c:v>1250</c:v>
                </c:pt>
                <c:pt idx="1">
                  <c:v>900</c:v>
                </c:pt>
                <c:pt idx="2">
                  <c:v>1750</c:v>
                </c:pt>
                <c:pt idx="3">
                  <c:v>1250</c:v>
                </c:pt>
                <c:pt idx="4">
                  <c:v>900</c:v>
                </c:pt>
                <c:pt idx="5">
                  <c:v>1250</c:v>
                </c:pt>
              </c:numCache>
            </c:numRef>
          </c:val>
        </c:ser>
        <c:gapWidth val="150"/>
        <c:overlap val="0"/>
        <c:axId val="17286845"/>
        <c:axId val="8777200"/>
      </c:barChart>
      <c:catAx>
        <c:axId val="1728684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77200"/>
        <c:crosses val="autoZero"/>
        <c:auto val="1"/>
        <c:lblAlgn val="ctr"/>
        <c:lblOffset val="100"/>
        <c:noMultiLvlLbl val="0"/>
      </c:catAx>
      <c:valAx>
        <c:axId val="877720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Amount (EGP)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728684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Expense Breakdown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Dashboard!B9</c:f>
              <c:strCache>
                <c:ptCount val="1"/>
                <c:pt idx="0">
                  <c:v>Total Spent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explosion val="0"/>
          <c:dPt>
            <c:idx val="0"/>
            <c:spPr>
              <a:solidFill>
                <a:srgbClr val="4f81b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spPr>
              <a:solidFill>
                <a:srgbClr val="c0504d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spPr>
              <a:solidFill>
                <a:srgbClr val="9bbb59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spPr>
              <a:solidFill>
                <a:srgbClr val="8064a2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Dashboard!$A$10:$A$13</c:f>
              <c:strCache>
                <c:ptCount val="4"/>
                <c:pt idx="0">
                  <c:v>Utilities</c:v>
                </c:pt>
                <c:pt idx="1">
                  <c:v>Technology</c:v>
                </c:pt>
                <c:pt idx="2">
                  <c:v>Education</c:v>
                </c:pt>
                <c:pt idx="3">
                  <c:v>Marketing</c:v>
                </c:pt>
              </c:strCache>
            </c:strRef>
          </c:cat>
          <c:val>
            <c:numRef>
              <c:f>Dashboard!$B$10:$B$13</c:f>
              <c:numCache>
                <c:formatCode>#,##0</c:formatCode>
                <c:ptCount val="4"/>
                <c:pt idx="0">
                  <c:v>2100</c:v>
                </c:pt>
                <c:pt idx="1">
                  <c:v>2750</c:v>
                </c:pt>
                <c:pt idx="2">
                  <c:v>1250</c:v>
                </c:pt>
                <c:pt idx="3">
                  <c:v>1200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11</xdr:row>
      <xdr:rowOff>0</xdr:rowOff>
    </xdr:from>
    <xdr:to>
      <xdr:col>8</xdr:col>
      <xdr:colOff>564480</xdr:colOff>
      <xdr:row>37</xdr:row>
      <xdr:rowOff>86760</xdr:rowOff>
    </xdr:to>
    <xdr:graphicFrame>
      <xdr:nvGraphicFramePr>
        <xdr:cNvPr id="0" name="Chart 1"/>
        <xdr:cNvGraphicFramePr/>
      </xdr:nvGraphicFramePr>
      <xdr:xfrm>
        <a:off x="0" y="24670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6</xdr:row>
      <xdr:rowOff>130680</xdr:rowOff>
    </xdr:from>
    <xdr:to>
      <xdr:col>10</xdr:col>
      <xdr:colOff>105840</xdr:colOff>
      <xdr:row>29</xdr:row>
      <xdr:rowOff>68760</xdr:rowOff>
    </xdr:to>
    <xdr:graphicFrame>
      <xdr:nvGraphicFramePr>
        <xdr:cNvPr id="1" name="Chart 1"/>
        <xdr:cNvGraphicFramePr/>
      </xdr:nvGraphicFramePr>
      <xdr:xfrm>
        <a:off x="4511160" y="1647720"/>
        <a:ext cx="503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8"/>
    <col collapsed="false" customWidth="true" hidden="false" outlineLevel="0" max="4" min="3" style="0" width="16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24.75" hidden="false" customHeight="tru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7</v>
      </c>
      <c r="B6" s="6" t="s">
        <v>8</v>
      </c>
      <c r="C6" s="5" t="s">
        <v>9</v>
      </c>
      <c r="D6" s="7" t="n">
        <v>2500</v>
      </c>
    </row>
    <row r="7" customFormat="false" ht="15" hidden="false" customHeight="false" outlineLevel="0" collapsed="false">
      <c r="A7" s="8" t="s">
        <v>7</v>
      </c>
      <c r="B7" s="9" t="s">
        <v>10</v>
      </c>
      <c r="C7" s="8" t="s">
        <v>9</v>
      </c>
      <c r="D7" s="10" t="n">
        <v>1800</v>
      </c>
    </row>
    <row r="8" customFormat="false" ht="15" hidden="false" customHeight="false" outlineLevel="0" collapsed="false">
      <c r="A8" s="5" t="s">
        <v>11</v>
      </c>
      <c r="B8" s="6" t="s">
        <v>12</v>
      </c>
      <c r="C8" s="5" t="s">
        <v>9</v>
      </c>
      <c r="D8" s="7" t="n">
        <v>3200</v>
      </c>
    </row>
    <row r="9" customFormat="false" ht="15" hidden="false" customHeight="false" outlineLevel="0" collapsed="false">
      <c r="A9" s="8" t="s">
        <v>11</v>
      </c>
      <c r="B9" s="9" t="s">
        <v>13</v>
      </c>
      <c r="C9" s="8" t="s">
        <v>14</v>
      </c>
      <c r="D9" s="10" t="n">
        <v>1500</v>
      </c>
    </row>
    <row r="10" customFormat="false" ht="15" hidden="false" customHeight="false" outlineLevel="0" collapsed="false">
      <c r="A10" s="5" t="s">
        <v>15</v>
      </c>
      <c r="B10" s="6" t="s">
        <v>16</v>
      </c>
      <c r="C10" s="5" t="s">
        <v>9</v>
      </c>
      <c r="D10" s="7" t="n">
        <v>2800</v>
      </c>
    </row>
    <row r="11" customFormat="false" ht="15" hidden="false" customHeight="false" outlineLevel="0" collapsed="false">
      <c r="A11" s="8" t="s">
        <v>15</v>
      </c>
      <c r="B11" s="9" t="s">
        <v>17</v>
      </c>
      <c r="C11" s="8" t="s">
        <v>9</v>
      </c>
      <c r="D11" s="10" t="n">
        <v>1200</v>
      </c>
    </row>
    <row r="12" customFormat="false" ht="15" hidden="false" customHeight="false" outlineLevel="0" collapsed="false">
      <c r="A12" s="5" t="s">
        <v>18</v>
      </c>
      <c r="B12" s="6" t="s">
        <v>19</v>
      </c>
      <c r="C12" s="5" t="s">
        <v>9</v>
      </c>
      <c r="D12" s="7" t="n">
        <v>4000</v>
      </c>
    </row>
    <row r="13" customFormat="false" ht="15" hidden="false" customHeight="false" outlineLevel="0" collapsed="false">
      <c r="A13" s="8" t="s">
        <v>18</v>
      </c>
      <c r="B13" s="9" t="s">
        <v>20</v>
      </c>
      <c r="C13" s="8" t="s">
        <v>21</v>
      </c>
      <c r="D13" s="10" t="n">
        <v>2000</v>
      </c>
    </row>
    <row r="14" customFormat="false" ht="15" hidden="false" customHeight="false" outlineLevel="0" collapsed="false">
      <c r="A14" s="5" t="s">
        <v>22</v>
      </c>
      <c r="B14" s="6" t="s">
        <v>23</v>
      </c>
      <c r="C14" s="5" t="s">
        <v>9</v>
      </c>
      <c r="D14" s="7" t="n">
        <v>3500</v>
      </c>
    </row>
    <row r="15" customFormat="false" ht="15" hidden="false" customHeight="false" outlineLevel="0" collapsed="false">
      <c r="A15" s="8" t="s">
        <v>22</v>
      </c>
      <c r="B15" s="9" t="s">
        <v>24</v>
      </c>
      <c r="C15" s="8" t="s">
        <v>9</v>
      </c>
      <c r="D15" s="10" t="n">
        <v>1600</v>
      </c>
    </row>
    <row r="16" customFormat="false" ht="15" hidden="false" customHeight="false" outlineLevel="0" collapsed="false">
      <c r="A16" s="5" t="s">
        <v>25</v>
      </c>
      <c r="B16" s="6" t="s">
        <v>12</v>
      </c>
      <c r="C16" s="5" t="s">
        <v>9</v>
      </c>
      <c r="D16" s="7" t="n">
        <v>2900</v>
      </c>
    </row>
    <row r="17" customFormat="false" ht="15" hidden="false" customHeight="false" outlineLevel="0" collapsed="false">
      <c r="A17" s="8" t="s">
        <v>25</v>
      </c>
      <c r="B17" s="9" t="s">
        <v>26</v>
      </c>
      <c r="C17" s="8" t="s">
        <v>14</v>
      </c>
      <c r="D17" s="10" t="n">
        <v>2200</v>
      </c>
    </row>
    <row r="18" customFormat="false" ht="15" hidden="false" customHeight="false" outlineLevel="0" collapsed="false">
      <c r="A18" s="11" t="s">
        <v>27</v>
      </c>
      <c r="B18" s="11"/>
      <c r="C18" s="11"/>
      <c r="D18" s="12" t="n">
        <f aca="false">SUM(D6:D17)</f>
        <v>29200</v>
      </c>
    </row>
    <row r="20" customFormat="false" ht="24.75" hidden="false" customHeight="true" outlineLevel="0" collapsed="false">
      <c r="A20" s="13" t="s">
        <v>28</v>
      </c>
      <c r="B20" s="13"/>
      <c r="C20" s="13"/>
      <c r="D20" s="13"/>
    </row>
    <row r="21" customFormat="false" ht="15" hidden="false" customHeight="false" outlineLevel="0" collapsed="false">
      <c r="A21" s="4" t="s">
        <v>3</v>
      </c>
      <c r="B21" s="4" t="s">
        <v>29</v>
      </c>
      <c r="C21" s="4" t="s">
        <v>5</v>
      </c>
      <c r="D21" s="4" t="s">
        <v>6</v>
      </c>
    </row>
    <row r="22" customFormat="false" ht="15" hidden="false" customHeight="false" outlineLevel="0" collapsed="false">
      <c r="A22" s="14" t="s">
        <v>7</v>
      </c>
      <c r="B22" s="15" t="s">
        <v>30</v>
      </c>
      <c r="C22" s="14" t="s">
        <v>31</v>
      </c>
      <c r="D22" s="16" t="n">
        <v>350</v>
      </c>
    </row>
    <row r="23" customFormat="false" ht="15" hidden="false" customHeight="false" outlineLevel="0" collapsed="false">
      <c r="A23" s="8" t="s">
        <v>7</v>
      </c>
      <c r="B23" s="9" t="s">
        <v>32</v>
      </c>
      <c r="C23" s="8" t="s">
        <v>33</v>
      </c>
      <c r="D23" s="10" t="n">
        <v>500</v>
      </c>
    </row>
    <row r="24" customFormat="false" ht="15" hidden="false" customHeight="false" outlineLevel="0" collapsed="false">
      <c r="A24" s="14" t="s">
        <v>7</v>
      </c>
      <c r="B24" s="15" t="s">
        <v>34</v>
      </c>
      <c r="C24" s="14" t="s">
        <v>35</v>
      </c>
      <c r="D24" s="16" t="n">
        <v>400</v>
      </c>
    </row>
    <row r="25" customFormat="false" ht="15" hidden="false" customHeight="false" outlineLevel="0" collapsed="false">
      <c r="A25" s="8" t="s">
        <v>11</v>
      </c>
      <c r="B25" s="9" t="s">
        <v>30</v>
      </c>
      <c r="C25" s="8" t="s">
        <v>31</v>
      </c>
      <c r="D25" s="10" t="n">
        <v>350</v>
      </c>
    </row>
    <row r="26" customFormat="false" ht="15" hidden="false" customHeight="false" outlineLevel="0" collapsed="false">
      <c r="A26" s="14" t="s">
        <v>11</v>
      </c>
      <c r="B26" s="15" t="s">
        <v>36</v>
      </c>
      <c r="C26" s="14" t="s">
        <v>37</v>
      </c>
      <c r="D26" s="16" t="n">
        <v>300</v>
      </c>
    </row>
    <row r="27" customFormat="false" ht="15" hidden="false" customHeight="false" outlineLevel="0" collapsed="false">
      <c r="A27" s="8" t="s">
        <v>11</v>
      </c>
      <c r="B27" s="9" t="s">
        <v>38</v>
      </c>
      <c r="C27" s="8" t="s">
        <v>33</v>
      </c>
      <c r="D27" s="10" t="n">
        <v>250</v>
      </c>
    </row>
    <row r="28" customFormat="false" ht="15" hidden="false" customHeight="false" outlineLevel="0" collapsed="false">
      <c r="A28" s="14" t="s">
        <v>15</v>
      </c>
      <c r="B28" s="15" t="s">
        <v>30</v>
      </c>
      <c r="C28" s="14" t="s">
        <v>31</v>
      </c>
      <c r="D28" s="16" t="n">
        <v>350</v>
      </c>
    </row>
    <row r="29" customFormat="false" ht="15" hidden="false" customHeight="false" outlineLevel="0" collapsed="false">
      <c r="A29" s="8" t="s">
        <v>15</v>
      </c>
      <c r="B29" s="9" t="s">
        <v>39</v>
      </c>
      <c r="C29" s="8" t="s">
        <v>35</v>
      </c>
      <c r="D29" s="10" t="n">
        <v>600</v>
      </c>
    </row>
    <row r="30" customFormat="false" ht="15" hidden="false" customHeight="false" outlineLevel="0" collapsed="false">
      <c r="A30" s="14" t="s">
        <v>15</v>
      </c>
      <c r="B30" s="15" t="s">
        <v>40</v>
      </c>
      <c r="C30" s="14" t="s">
        <v>33</v>
      </c>
      <c r="D30" s="16" t="n">
        <v>800</v>
      </c>
    </row>
    <row r="31" customFormat="false" ht="15" hidden="false" customHeight="false" outlineLevel="0" collapsed="false">
      <c r="A31" s="8" t="s">
        <v>18</v>
      </c>
      <c r="B31" s="9" t="s">
        <v>30</v>
      </c>
      <c r="C31" s="8" t="s">
        <v>31</v>
      </c>
      <c r="D31" s="10" t="n">
        <v>350</v>
      </c>
    </row>
    <row r="32" customFormat="false" ht="15" hidden="false" customHeight="false" outlineLevel="0" collapsed="false">
      <c r="A32" s="14" t="s">
        <v>18</v>
      </c>
      <c r="B32" s="15" t="s">
        <v>37</v>
      </c>
      <c r="C32" s="14" t="s">
        <v>37</v>
      </c>
      <c r="D32" s="16" t="n">
        <v>400</v>
      </c>
    </row>
    <row r="33" customFormat="false" ht="15" hidden="false" customHeight="false" outlineLevel="0" collapsed="false">
      <c r="A33" s="8" t="s">
        <v>18</v>
      </c>
      <c r="B33" s="9" t="s">
        <v>32</v>
      </c>
      <c r="C33" s="8" t="s">
        <v>33</v>
      </c>
      <c r="D33" s="10" t="n">
        <v>500</v>
      </c>
    </row>
    <row r="34" customFormat="false" ht="15" hidden="false" customHeight="false" outlineLevel="0" collapsed="false">
      <c r="A34" s="14" t="s">
        <v>22</v>
      </c>
      <c r="B34" s="15" t="s">
        <v>30</v>
      </c>
      <c r="C34" s="14" t="s">
        <v>31</v>
      </c>
      <c r="D34" s="16" t="n">
        <v>350</v>
      </c>
    </row>
    <row r="35" customFormat="false" ht="15" hidden="false" customHeight="false" outlineLevel="0" collapsed="false">
      <c r="A35" s="8" t="s">
        <v>22</v>
      </c>
      <c r="B35" s="9" t="s">
        <v>41</v>
      </c>
      <c r="C35" s="8" t="s">
        <v>35</v>
      </c>
      <c r="D35" s="10" t="n">
        <v>250</v>
      </c>
    </row>
    <row r="36" customFormat="false" ht="15" hidden="false" customHeight="false" outlineLevel="0" collapsed="false">
      <c r="A36" s="14" t="s">
        <v>22</v>
      </c>
      <c r="B36" s="15" t="s">
        <v>42</v>
      </c>
      <c r="C36" s="14" t="s">
        <v>33</v>
      </c>
      <c r="D36" s="16" t="n">
        <v>300</v>
      </c>
    </row>
    <row r="37" customFormat="false" ht="15" hidden="false" customHeight="false" outlineLevel="0" collapsed="false">
      <c r="A37" s="8" t="s">
        <v>25</v>
      </c>
      <c r="B37" s="9" t="s">
        <v>30</v>
      </c>
      <c r="C37" s="8" t="s">
        <v>31</v>
      </c>
      <c r="D37" s="10" t="n">
        <v>350</v>
      </c>
    </row>
    <row r="38" customFormat="false" ht="15" hidden="false" customHeight="false" outlineLevel="0" collapsed="false">
      <c r="A38" s="14" t="s">
        <v>25</v>
      </c>
      <c r="B38" s="15" t="s">
        <v>43</v>
      </c>
      <c r="C38" s="14" t="s">
        <v>37</v>
      </c>
      <c r="D38" s="16" t="n">
        <v>500</v>
      </c>
    </row>
    <row r="39" customFormat="false" ht="15" hidden="false" customHeight="false" outlineLevel="0" collapsed="false">
      <c r="A39" s="8" t="s">
        <v>25</v>
      </c>
      <c r="B39" s="9" t="s">
        <v>44</v>
      </c>
      <c r="C39" s="8" t="s">
        <v>33</v>
      </c>
      <c r="D39" s="10" t="n">
        <v>400</v>
      </c>
    </row>
    <row r="40" customFormat="false" ht="15" hidden="false" customHeight="false" outlineLevel="0" collapsed="false">
      <c r="A40" s="17" t="s">
        <v>45</v>
      </c>
      <c r="B40" s="17"/>
      <c r="C40" s="17"/>
      <c r="D40" s="18" t="n">
        <f aca="false">SUM(D22:D39)</f>
        <v>7300</v>
      </c>
    </row>
  </sheetData>
  <mergeCells count="6">
    <mergeCell ref="A1:H1"/>
    <mergeCell ref="A2:H2"/>
    <mergeCell ref="A4:D4"/>
    <mergeCell ref="A18:C18"/>
    <mergeCell ref="A20:D20"/>
    <mergeCell ref="A40:C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6"/>
    <col collapsed="false" customWidth="true" hidden="false" outlineLevel="0" max="6" min="4" style="0" width="14"/>
  </cols>
  <sheetData>
    <row r="1" customFormat="false" ht="34.5" hidden="false" customHeight="true" outlineLevel="0" collapsed="false">
      <c r="A1" s="1" t="s">
        <v>46</v>
      </c>
      <c r="B1" s="1"/>
      <c r="C1" s="1"/>
      <c r="D1" s="1"/>
      <c r="E1" s="1"/>
      <c r="F1" s="1"/>
    </row>
    <row r="3" customFormat="false" ht="24.75" hidden="false" customHeight="true" outlineLevel="0" collapsed="false">
      <c r="A3" s="4" t="s">
        <v>3</v>
      </c>
      <c r="B3" s="4" t="s">
        <v>47</v>
      </c>
      <c r="C3" s="4" t="s">
        <v>48</v>
      </c>
      <c r="D3" s="4" t="s">
        <v>49</v>
      </c>
      <c r="E3" s="4" t="s">
        <v>50</v>
      </c>
      <c r="F3" s="4" t="s">
        <v>51</v>
      </c>
    </row>
    <row r="4" customFormat="false" ht="15" hidden="false" customHeight="false" outlineLevel="0" collapsed="false">
      <c r="A4" s="19" t="s">
        <v>7</v>
      </c>
      <c r="B4" s="20" t="n">
        <v>4300</v>
      </c>
      <c r="C4" s="21" t="n">
        <v>1250</v>
      </c>
      <c r="D4" s="22" t="n">
        <f aca="false">B4-C4</f>
        <v>3050</v>
      </c>
      <c r="E4" s="23" t="n">
        <f aca="false">IFERROR(D4/B4,0)</f>
        <v>0.709302325581395</v>
      </c>
      <c r="F4" s="24" t="str">
        <f aca="false">IF(D4&gt;0,"✅ Surplus","❌ Deficit")</f>
        <v>✅ Surplus</v>
      </c>
    </row>
    <row r="5" customFormat="false" ht="15" hidden="false" customHeight="false" outlineLevel="0" collapsed="false">
      <c r="A5" s="19" t="s">
        <v>11</v>
      </c>
      <c r="B5" s="20" t="n">
        <v>4700</v>
      </c>
      <c r="C5" s="21" t="n">
        <v>900</v>
      </c>
      <c r="D5" s="22" t="n">
        <f aca="false">B5-C5</f>
        <v>3800</v>
      </c>
      <c r="E5" s="23" t="n">
        <f aca="false">IFERROR(D5/B5,0)</f>
        <v>0.808510638297872</v>
      </c>
      <c r="F5" s="24" t="str">
        <f aca="false">IF(D5&gt;0,"✅ Surplus","❌ Deficit")</f>
        <v>✅ Surplus</v>
      </c>
    </row>
    <row r="6" customFormat="false" ht="15" hidden="false" customHeight="false" outlineLevel="0" collapsed="false">
      <c r="A6" s="19" t="s">
        <v>15</v>
      </c>
      <c r="B6" s="20" t="n">
        <v>4000</v>
      </c>
      <c r="C6" s="21" t="n">
        <v>1750</v>
      </c>
      <c r="D6" s="22" t="n">
        <f aca="false">B6-C6</f>
        <v>2250</v>
      </c>
      <c r="E6" s="23" t="n">
        <f aca="false">IFERROR(D6/B6,0)</f>
        <v>0.5625</v>
      </c>
      <c r="F6" s="24" t="str">
        <f aca="false">IF(D6&gt;0,"✅ Surplus","❌ Deficit")</f>
        <v>✅ Surplus</v>
      </c>
    </row>
    <row r="7" customFormat="false" ht="15" hidden="false" customHeight="false" outlineLevel="0" collapsed="false">
      <c r="A7" s="19" t="s">
        <v>18</v>
      </c>
      <c r="B7" s="20" t="n">
        <v>6000</v>
      </c>
      <c r="C7" s="21" t="n">
        <v>1250</v>
      </c>
      <c r="D7" s="22" t="n">
        <f aca="false">B7-C7</f>
        <v>4750</v>
      </c>
      <c r="E7" s="23" t="n">
        <f aca="false">IFERROR(D7/B7,0)</f>
        <v>0.791666666666667</v>
      </c>
      <c r="F7" s="24" t="str">
        <f aca="false">IF(D7&gt;0,"✅ Surplus","❌ Deficit")</f>
        <v>✅ Surplus</v>
      </c>
    </row>
    <row r="8" customFormat="false" ht="15" hidden="false" customHeight="false" outlineLevel="0" collapsed="false">
      <c r="A8" s="19" t="s">
        <v>22</v>
      </c>
      <c r="B8" s="20" t="n">
        <v>5100</v>
      </c>
      <c r="C8" s="21" t="n">
        <v>900</v>
      </c>
      <c r="D8" s="22" t="n">
        <f aca="false">B8-C8</f>
        <v>4200</v>
      </c>
      <c r="E8" s="23" t="n">
        <f aca="false">IFERROR(D8/B8,0)</f>
        <v>0.823529411764706</v>
      </c>
      <c r="F8" s="24" t="str">
        <f aca="false">IF(D8&gt;0,"✅ Surplus","❌ Deficit")</f>
        <v>✅ Surplus</v>
      </c>
    </row>
    <row r="9" customFormat="false" ht="15" hidden="false" customHeight="false" outlineLevel="0" collapsed="false">
      <c r="A9" s="19" t="s">
        <v>25</v>
      </c>
      <c r="B9" s="20" t="n">
        <v>5100</v>
      </c>
      <c r="C9" s="21" t="n">
        <v>1250</v>
      </c>
      <c r="D9" s="22" t="n">
        <f aca="false">B9-C9</f>
        <v>3850</v>
      </c>
      <c r="E9" s="23" t="n">
        <f aca="false">IFERROR(D9/B9,0)</f>
        <v>0.754901960784314</v>
      </c>
      <c r="F9" s="24" t="str">
        <f aca="false">IF(D9&gt;0,"✅ Surplus","❌ Deficit")</f>
        <v>✅ Surplus</v>
      </c>
    </row>
    <row r="10" customFormat="false" ht="15" hidden="false" customHeight="false" outlineLevel="0" collapsed="false">
      <c r="A10" s="25" t="s">
        <v>52</v>
      </c>
      <c r="B10" s="26" t="n">
        <f aca="false">SUM(B4:B9)</f>
        <v>29200</v>
      </c>
      <c r="C10" s="26" t="n">
        <f aca="false">SUM(C4:C9)</f>
        <v>7300</v>
      </c>
      <c r="D10" s="26" t="n">
        <f aca="false">SUM(D4:D9)</f>
        <v>21900</v>
      </c>
      <c r="E10" s="27" t="n">
        <f aca="false">IFERROR(D10/B10,0)</f>
        <v>0.75</v>
      </c>
      <c r="F10" s="28" t="s">
        <v>53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4"/>
    <col collapsed="false" customWidth="true" hidden="false" outlineLevel="0" max="4" min="4" style="0" width="18"/>
    <col collapsed="false" customWidth="true" hidden="false" outlineLevel="0" max="5" min="5" style="0" width="2"/>
    <col collapsed="false" customWidth="true" hidden="false" outlineLevel="0" max="10" min="6" style="0" width="14"/>
  </cols>
  <sheetData>
    <row r="1" customFormat="false" ht="39.75" hidden="false" customHeight="true" outlineLevel="0" collapsed="false">
      <c r="A1" s="29" t="s">
        <v>54</v>
      </c>
      <c r="B1" s="29"/>
      <c r="C1" s="29"/>
      <c r="D1" s="29"/>
      <c r="E1" s="29"/>
      <c r="F1" s="29"/>
      <c r="G1" s="29"/>
      <c r="H1" s="29"/>
      <c r="I1" s="29"/>
      <c r="J1" s="29"/>
    </row>
    <row r="2" customFormat="false" ht="15" hidden="false" customHeight="false" outlineLevel="0" collapsed="false">
      <c r="A2" s="30" t="s">
        <v>55</v>
      </c>
      <c r="B2" s="30"/>
      <c r="C2" s="30"/>
      <c r="D2" s="30"/>
      <c r="E2" s="30"/>
      <c r="F2" s="30"/>
      <c r="G2" s="30"/>
      <c r="H2" s="30"/>
      <c r="I2" s="30"/>
      <c r="J2" s="30"/>
    </row>
    <row r="4" customFormat="false" ht="15" hidden="false" customHeight="false" outlineLevel="0" collapsed="false">
      <c r="A4" s="31" t="s">
        <v>56</v>
      </c>
      <c r="B4" s="31"/>
      <c r="C4" s="32" t="s">
        <v>57</v>
      </c>
      <c r="D4" s="32"/>
      <c r="E4" s="33" t="s">
        <v>58</v>
      </c>
      <c r="F4" s="33"/>
      <c r="G4" s="34" t="s">
        <v>59</v>
      </c>
      <c r="H4" s="34"/>
    </row>
    <row r="5" customFormat="false" ht="19.7" hidden="false" customHeight="false" outlineLevel="0" collapsed="false">
      <c r="A5" s="35" t="n">
        <f aca="false">SUM('Monthly Summary'!B4:B9)</f>
        <v>29200</v>
      </c>
      <c r="B5" s="35"/>
      <c r="C5" s="36" t="n">
        <f aca="false">SUM('Monthly Summary'!C4:C9)</f>
        <v>7300</v>
      </c>
      <c r="D5" s="36"/>
      <c r="E5" s="37" t="n">
        <f aca="false">'Monthly Summary'!D10</f>
        <v>21900</v>
      </c>
      <c r="F5" s="37"/>
      <c r="G5" s="38" t="n">
        <f aca="false">IFERROR('Monthly Summary'!E10,0)</f>
        <v>0.75</v>
      </c>
      <c r="H5" s="38"/>
    </row>
    <row r="6" customFormat="false" ht="15" hidden="false" customHeight="false" outlineLevel="0" collapsed="false">
      <c r="A6" s="39"/>
      <c r="B6" s="39"/>
      <c r="C6" s="40"/>
      <c r="D6" s="40"/>
      <c r="E6" s="41"/>
      <c r="F6" s="41"/>
      <c r="G6" s="42"/>
      <c r="H6" s="42"/>
    </row>
    <row r="8" customFormat="false" ht="15" hidden="false" customHeight="false" outlineLevel="0" collapsed="false">
      <c r="A8" s="43" t="s">
        <v>60</v>
      </c>
      <c r="B8" s="43"/>
      <c r="C8" s="43"/>
      <c r="D8" s="43"/>
    </row>
    <row r="9" customFormat="false" ht="15" hidden="false" customHeight="false" outlineLevel="0" collapsed="false">
      <c r="A9" s="25" t="s">
        <v>5</v>
      </c>
      <c r="B9" s="25" t="s">
        <v>61</v>
      </c>
      <c r="C9" s="25" t="s">
        <v>62</v>
      </c>
      <c r="D9" s="25" t="s">
        <v>63</v>
      </c>
    </row>
    <row r="10" customFormat="false" ht="15" hidden="false" customHeight="false" outlineLevel="0" collapsed="false">
      <c r="A10" s="44" t="s">
        <v>31</v>
      </c>
      <c r="B10" s="16" t="n">
        <v>2100</v>
      </c>
      <c r="C10" s="23" t="n">
        <f aca="false">B10/SUM(B10:B13)</f>
        <v>0.287671232876712</v>
      </c>
      <c r="D10" s="45" t="s">
        <v>64</v>
      </c>
    </row>
    <row r="11" customFormat="false" ht="15" hidden="false" customHeight="false" outlineLevel="0" collapsed="false">
      <c r="A11" s="46" t="s">
        <v>33</v>
      </c>
      <c r="B11" s="16" t="n">
        <v>2750</v>
      </c>
      <c r="C11" s="23" t="n">
        <f aca="false">B11/SUM(B10:B13)</f>
        <v>0.376712328767123</v>
      </c>
      <c r="D11" s="45" t="s">
        <v>65</v>
      </c>
    </row>
    <row r="12" customFormat="false" ht="15" hidden="false" customHeight="false" outlineLevel="0" collapsed="false">
      <c r="A12" s="44" t="s">
        <v>35</v>
      </c>
      <c r="B12" s="16" t="n">
        <v>1250</v>
      </c>
      <c r="C12" s="23" t="n">
        <f aca="false">B12/SUM(B10:B13)</f>
        <v>0.171232876712329</v>
      </c>
      <c r="D12" s="45" t="s">
        <v>66</v>
      </c>
    </row>
    <row r="13" customFormat="false" ht="15" hidden="false" customHeight="false" outlineLevel="0" collapsed="false">
      <c r="A13" s="46" t="s">
        <v>37</v>
      </c>
      <c r="B13" s="16" t="n">
        <v>1200</v>
      </c>
      <c r="C13" s="23" t="n">
        <f aca="false">B13/SUM(B10:B13)</f>
        <v>0.164383561643836</v>
      </c>
      <c r="D13" s="45" t="s">
        <v>66</v>
      </c>
    </row>
    <row r="15" customFormat="false" ht="15" hidden="false" customHeight="false" outlineLevel="0" collapsed="false">
      <c r="A15" s="47" t="s">
        <v>67</v>
      </c>
      <c r="B15" s="47"/>
      <c r="C15" s="47"/>
      <c r="D15" s="47"/>
    </row>
    <row r="16" customFormat="false" ht="15" hidden="false" customHeight="false" outlineLevel="0" collapsed="false">
      <c r="A16" s="48" t="s">
        <v>68</v>
      </c>
      <c r="B16" s="48"/>
      <c r="C16" s="48"/>
      <c r="D16" s="48"/>
    </row>
    <row r="17" customFormat="false" ht="15" hidden="false" customHeight="false" outlineLevel="0" collapsed="false">
      <c r="A17" s="49" t="s">
        <v>69</v>
      </c>
      <c r="B17" s="49"/>
      <c r="C17" s="49"/>
      <c r="D17" s="49"/>
    </row>
    <row r="18" customFormat="false" ht="15" hidden="false" customHeight="false" outlineLevel="0" collapsed="false">
      <c r="A18" s="48" t="s">
        <v>70</v>
      </c>
      <c r="B18" s="48"/>
      <c r="C18" s="48"/>
      <c r="D18" s="48"/>
    </row>
    <row r="19" customFormat="false" ht="15" hidden="false" customHeight="false" outlineLevel="0" collapsed="false">
      <c r="A19" s="49" t="s">
        <v>71</v>
      </c>
      <c r="B19" s="49"/>
      <c r="C19" s="49"/>
      <c r="D19" s="49"/>
    </row>
  </sheetData>
  <mergeCells count="20">
    <mergeCell ref="A1:J1"/>
    <mergeCell ref="A2:J2"/>
    <mergeCell ref="A4:B4"/>
    <mergeCell ref="C4:D4"/>
    <mergeCell ref="E4:F4"/>
    <mergeCell ref="G4:H4"/>
    <mergeCell ref="A5:B5"/>
    <mergeCell ref="C5:D5"/>
    <mergeCell ref="E5:F5"/>
    <mergeCell ref="G5:H5"/>
    <mergeCell ref="A6:B6"/>
    <mergeCell ref="C6:D6"/>
    <mergeCell ref="E6:F6"/>
    <mergeCell ref="G6:H6"/>
    <mergeCell ref="A8:D8"/>
    <mergeCell ref="A15:D15"/>
    <mergeCell ref="A16:D16"/>
    <mergeCell ref="A17:D17"/>
    <mergeCell ref="A18:D18"/>
    <mergeCell ref="A19:D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5"/>
    <col collapsed="false" customWidth="true" hidden="false" outlineLevel="0" max="3" min="3" style="0" width="40"/>
    <col collapsed="false" customWidth="true" hidden="false" outlineLevel="0" max="4" min="4" style="0" width="20"/>
  </cols>
  <sheetData>
    <row r="1" customFormat="false" ht="30" hidden="false" customHeight="true" outlineLevel="0" collapsed="false">
      <c r="A1" s="50" t="s">
        <v>72</v>
      </c>
      <c r="B1" s="50"/>
      <c r="C1" s="50"/>
      <c r="D1" s="50"/>
    </row>
    <row r="3" customFormat="false" ht="24.75" hidden="false" customHeight="true" outlineLevel="0" collapsed="false">
      <c r="A3" s="4" t="s">
        <v>73</v>
      </c>
      <c r="B3" s="51" t="s">
        <v>74</v>
      </c>
      <c r="C3" s="52" t="s">
        <v>75</v>
      </c>
      <c r="D3" s="52"/>
    </row>
    <row r="4" customFormat="false" ht="24.75" hidden="false" customHeight="true" outlineLevel="0" collapsed="false">
      <c r="A4" s="4" t="s">
        <v>76</v>
      </c>
      <c r="B4" s="51" t="s">
        <v>77</v>
      </c>
      <c r="C4" s="52" t="s">
        <v>78</v>
      </c>
      <c r="D4" s="52"/>
    </row>
    <row r="5" customFormat="false" ht="24.75" hidden="false" customHeight="true" outlineLevel="0" collapsed="false">
      <c r="A5" s="4" t="s">
        <v>79</v>
      </c>
      <c r="B5" s="51" t="s">
        <v>80</v>
      </c>
      <c r="C5" s="52" t="s">
        <v>81</v>
      </c>
      <c r="D5" s="52"/>
    </row>
    <row r="6" customFormat="false" ht="24.75" hidden="false" customHeight="true" outlineLevel="0" collapsed="false">
      <c r="A6" s="4" t="s">
        <v>82</v>
      </c>
      <c r="B6" s="51" t="s">
        <v>83</v>
      </c>
      <c r="C6" s="52" t="s">
        <v>84</v>
      </c>
      <c r="D6" s="52"/>
    </row>
  </sheetData>
  <mergeCells count="5">
    <mergeCell ref="A1:D1"/>
    <mergeCell ref="C3:D3"/>
    <mergeCell ref="C4:D4"/>
    <mergeCell ref="C5:D5"/>
    <mergeCell ref="C6:D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2026-05-20T22:16:06Z</dcterms:created>
  <dc:creator>openpyxl</dc:creator>
  <dc:description/>
  <dc:language>en-US</dc:language>
  <cp:lastModifiedBy/>
  <dcterms:modified xsi:type="dcterms:W3CDTF">2026-05-20T22:16:39Z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